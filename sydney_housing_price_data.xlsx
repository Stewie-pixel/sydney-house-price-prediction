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f7e0183c0842eb77/Documents/Deakin_Uni/SIT307/8.1D/"/>
    </mc:Choice>
  </mc:AlternateContent>
  <xr:revisionPtr revIDLastSave="0" documentId="8_{5647D4CB-EAE3-44C7-8781-63D56CF5F412}" xr6:coauthVersionLast="47" xr6:coauthVersionMax="47" xr10:uidLastSave="{00000000-0000-0000-0000-000000000000}"/>
  <bookViews>
    <workbookView xWindow="-108" yWindow="-108" windowWidth="23256" windowHeight="12456" activeTab="1" xr2:uid="{00000000-000D-0000-FFFF-FFFF00000000}"/>
  </bookViews>
  <sheets>
    <sheet name="Instructions" sheetId="1" r:id="rId1"/>
    <sheet name="Data Entry" sheetId="2" r:id="rId2"/>
    <sheet name="Suburb Planning" sheetId="3" r:id="rId3"/>
    <sheet name="Collection Notes"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 i="3" l="1"/>
  <c r="C8" i="3"/>
  <c r="D8" i="3"/>
  <c r="B4" i="3" a="1"/>
  <c r="B4" i="3" s="1"/>
  <c r="C4" i="3" a="1"/>
  <c r="C4" i="3" s="1"/>
  <c r="D4" i="3" a="1"/>
  <c r="D4" i="3"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<sst xmlns="http://schemas.openxmlformats.org/spreadsheetml/2006/main" count="460" uniqueCount="173">
  <si>
    <t>Sydney Housing Price Prediction — Data Collection Guide</t>
  </si>
  <si>
    <t>GOAL: Collect at least 100 sold properties across 3 Sydney suburbs (minimum 30 per suburb). Choose suburbs with genuinely different housing markets — e.g. one inner-city high-density unit market, one established family-house suburb, one outer growth-corridor suburb. This matters for Part 1 of the report: you must justify why these three suburbs differ.</t>
  </si>
  <si>
    <t>WHERE TO LOOK: domain.com.au and realestate.com.au both have a 'Sold' filter/section for each suburb (e.g. domain.com.au/sold-listings/&lt;suburb&gt;-nsw-&lt;postcode&gt;). Filter by property type and sold date range (e.g. last 12-24 months) to get enough recent, comparable sales.</t>
  </si>
  <si>
    <t>HOW TO RECORD EACH PROPERTY: open each sold listing and copy the fields into the 'Data Entry' tab — one row per property. Not every listing will have every field (e.g. land size is often missing for units, floor area is often missing for houses) — leave blank rather than guessing; missing data is a normal, expected part of real-world collection and you'll discuss it in the report's data-quality section.</t>
  </si>
  <si>
    <t>TIP — keep the listing URL for every row. It lets you go back later, and some marketplaces remove sold listings after a few months, so scrape/record promptly rather than leaving it to the last minute.</t>
  </si>
  <si>
    <t>FIELD DEFINITIONS</t>
  </si>
  <si>
    <t>suburb: Suburb name exactly as listed (e.g. 'Newtown', 'Castle Hill').</t>
  </si>
  <si>
    <t>address: Street address (helps you re-find the listing; not used directly as a model feature).</t>
  </si>
  <si>
    <t>property_type: House / Unit / Townhouse / Apartment / Villa etc.</t>
  </si>
  <si>
    <t>sale_price: Sold price in AUD, numbers only, e.g. 1250000.</t>
  </si>
  <si>
    <t>sale_date: Date sold, format YYYY-MM-DD.</t>
  </si>
  <si>
    <t>bedrooms: Number of bedrooms.</t>
  </si>
  <si>
    <t>bathrooms: Number of bathrooms.</t>
  </si>
  <si>
    <t>car_spaces: Number of car spaces / garage spots.</t>
  </si>
  <si>
    <t>land_size_sqm: Land size in square metres (often only available for houses, not units).</t>
  </si>
  <si>
    <t>floor_area_sqm: Internal floor area in square metres, if listed.</t>
  </si>
  <si>
    <t>year_built: Year built, if listed (often unavailable for older properties).</t>
  </si>
  <si>
    <t>distance_to_cbd_km: Straight-line or driving distance to Sydney CBD in km — look up via Google Maps if not stated.</t>
  </si>
  <si>
    <t>distance_to_train_station_km: Distance to nearest train station in km — look up via Google Maps.</t>
  </si>
  <si>
    <t>school_zone: Name of the local public school catchment, if relevant/known (optional but useful feature).</t>
  </si>
  <si>
    <t>strata_or_council_rate_pa: Strata fee or council rate per annum, if listed (optional).</t>
  </si>
  <si>
    <t>listing_url: Full URL of the sold listing, for traceability.</t>
  </si>
  <si>
    <t>agent_description: Full text of the agent's listing description — optional, for advanced text-feature analysis.</t>
  </si>
  <si>
    <t>DATA QUALITY LOG: as you collect, note anything worth discussing in the report — suburbs where listings are sparse, fields that are frequently missing, any properties that look like outliers (e.g. off-market or unusual sales), or potential bias in which properties get listed with full detail vs which don't. Use the 'Collection Notes' tab for this as you go, rather than trying to remember it all at the end.</t>
  </si>
  <si>
    <t>suburb</t>
  </si>
  <si>
    <t>address</t>
  </si>
  <si>
    <t>property_type</t>
  </si>
  <si>
    <t>sale_price</t>
  </si>
  <si>
    <t>sale_date</t>
  </si>
  <si>
    <t>bedrooms</t>
  </si>
  <si>
    <t>bathrooms</t>
  </si>
  <si>
    <t>car_spaces</t>
  </si>
  <si>
    <t>land_size_sqm</t>
  </si>
  <si>
    <t>Newtown</t>
  </si>
  <si>
    <t>House</t>
  </si>
  <si>
    <t>Criterion</t>
  </si>
  <si>
    <t>Suburb 1</t>
  </si>
  <si>
    <t>Suburb 2</t>
  </si>
  <si>
    <t>Suburb 3</t>
  </si>
  <si>
    <t>Suburb name</t>
  </si>
  <si>
    <t>Market type (inner-city unit / family house / growth corridor / etc.)</t>
  </si>
  <si>
    <t>Median price (approx, for context)</t>
  </si>
  <si>
    <t>Distance to CBD</t>
  </si>
  <si>
    <t>Why chosen (1-2 lines)</t>
  </si>
  <si>
    <t>Target # properties to collect (&gt;=30)</t>
  </si>
  <si>
    <t>Properties collected so far</t>
  </si>
  <si>
    <t>Date</t>
  </si>
  <si>
    <t>Note (missing data patterns, outliers, bias observations, source issues, etc.)</t>
  </si>
  <si>
    <t>listing_url</t>
  </si>
  <si>
    <t>19 Bedford Street, Newtown NSW 2042</t>
  </si>
  <si>
    <t>https://www.realestate.com.au/sold/in-newtown,+nsw+2042/list-1</t>
  </si>
  <si>
    <t>217/88 King Street, Newtown NSW 2042</t>
  </si>
  <si>
    <t>Studio</t>
  </si>
  <si>
    <t>31/55 King Street, Newtown NSW 2042</t>
  </si>
  <si>
    <t>Apartment</t>
  </si>
  <si>
    <t>10/2-6 Brown Street, Newtown NSW 2042</t>
  </si>
  <si>
    <t>9/91-93 Campbell Street, Newtown NSW 2042</t>
  </si>
  <si>
    <t>106/38 Alice Street, Newtown NSW 2042</t>
  </si>
  <si>
    <t>222 Denison Street, Newtown NSW 2042</t>
  </si>
  <si>
    <t>17 Pearl Street, Newtown NSW 2042</t>
  </si>
  <si>
    <t>108/88 King Street, Newtown NSW 2042</t>
  </si>
  <si>
    <t>304 Edgeware Road, Newtown NSW 2042</t>
  </si>
  <si>
    <t>5 Yaralla Street, Newtown NSW 2042</t>
  </si>
  <si>
    <t>53/2-6 Brown Street, Newtown NSW 2042</t>
  </si>
  <si>
    <t>Unit</t>
  </si>
  <si>
    <t>175 Denison Street, Newtown NSW 2042</t>
  </si>
  <si>
    <t>17 Union Street, Newtown NSW 2042</t>
  </si>
  <si>
    <t>Terrace</t>
  </si>
  <si>
    <t>G03/10 Fitzgerald Street, Newtown NSW 2042</t>
  </si>
  <si>
    <t>109/155 Missenden Road, Newtown NSW 2042</t>
  </si>
  <si>
    <t>10 Don Street, Newtown NSW 2042</t>
  </si>
  <si>
    <t>6/134-146 Enmore Road, Newtown NSW 2042</t>
  </si>
  <si>
    <t>23 Raper Street, Newtown NSW 2042</t>
  </si>
  <si>
    <t>29 Laura Street, Newtown NSW 2042</t>
  </si>
  <si>
    <t>6/2-18 Newman Street, Newtown NSW 2042</t>
  </si>
  <si>
    <t>Townhouse</t>
  </si>
  <si>
    <t>14 Kent Street, Newtown NSW 2042</t>
  </si>
  <si>
    <t>402/32 Alice Street, Newtown NSW 2042</t>
  </si>
  <si>
    <t>52 Phillip Street, Newtown NSW 2042</t>
  </si>
  <si>
    <t>7/1 Gladstone Street, Newtown NSW 2042</t>
  </si>
  <si>
    <t>140 Darley Street, Newtown NSW 2042</t>
  </si>
  <si>
    <t>https://www.domain.com.au/sold-listings/newtown-nsw-2042/house/</t>
  </si>
  <si>
    <t>76 Angel Street, Newtown NSW 2042</t>
  </si>
  <si>
    <t>43 Gowrie Street, Newtown NSW 2042</t>
  </si>
  <si>
    <t>94 Kingston Road, Newtown NSW 2042</t>
  </si>
  <si>
    <t>220 Church Street, Newtown NSW 2042</t>
  </si>
  <si>
    <t>45 Baltic Street, Newtown NSW 2042</t>
  </si>
  <si>
    <t>78 Watkin Street, Newtown NSW 2042</t>
  </si>
  <si>
    <t>19 Oxford Street, Newtown NSW 2042</t>
  </si>
  <si>
    <t>86 Station Street, Newtown NSW 2042</t>
  </si>
  <si>
    <t>Burwood</t>
  </si>
  <si>
    <t>A610/68-72 Railway Parade, Burwood NSW 2134</t>
  </si>
  <si>
    <t>https://www.realestate.com.au/sold/in-burwood,+nsw+2134/list-1</t>
  </si>
  <si>
    <t>73 Liverpool Road, Burwood NSW 2134</t>
  </si>
  <si>
    <t>1018/1-3 Belmore Street, Burwood NSW 2134</t>
  </si>
  <si>
    <t>38/67 Shaftesbury Road, Burwood NSW 2134</t>
  </si>
  <si>
    <t>G02/15-19 Clarence Street, Burwood NSW 2134</t>
  </si>
  <si>
    <t>1/27-27A Conder Street, Burwood NSW 2134</t>
  </si>
  <si>
    <t>Duplex</t>
  </si>
  <si>
    <t>4/7 George Street, Burwood NSW 2134</t>
  </si>
  <si>
    <t>C1602/8 Wynne Avenue, Burwood NSW 2134</t>
  </si>
  <si>
    <t>3/6-8 Belmore Street, Burwood NSW 2134</t>
  </si>
  <si>
    <t>402/6 Railway Parade, Burwood NSW 2134</t>
  </si>
  <si>
    <t>702/1-3 Elizabeth Street, Burwood NSW 2134</t>
  </si>
  <si>
    <t>309/43 Belmore Street, Burwood NSW 2134</t>
  </si>
  <si>
    <t>182/1 Railway Parade, Burwood NSW 2134</t>
  </si>
  <si>
    <t>5/60 Belmore Street, Burwood NSW 2134</t>
  </si>
  <si>
    <t>100 Wentworth Road, Burwood NSW 2134</t>
  </si>
  <si>
    <t>301/24A-26 Gordon Street, Burwood NSW 2134</t>
  </si>
  <si>
    <t>507/65 Shaftesbury Road, Burwood NSW 2134</t>
  </si>
  <si>
    <t>32/1-9 Mt Pleasant Avenue, Burwood NSW 2134</t>
  </si>
  <si>
    <t>105/55A-57 Stanley Street, Burwood NSW 2134</t>
  </si>
  <si>
    <t>102/7 Wilga Street, Burwood NSW 2134</t>
  </si>
  <si>
    <t>9/41-43 Railway Crescent, Burwood NSW 2134</t>
  </si>
  <si>
    <t>11/4 Belmore Street, Burwood NSW 2134</t>
  </si>
  <si>
    <t>903/36-38 Victoria Street, Burwood NSW 2134</t>
  </si>
  <si>
    <t>710/68-72 Railway Parade, Burwood NSW 2134</t>
  </si>
  <si>
    <t>11/20 Belmore Street, Burwood NSW 2134</t>
  </si>
  <si>
    <t>8/20 Belmore Street, Burwood NSW 2134</t>
  </si>
  <si>
    <t>https://www.realestate.com.au/sold/in-burwood,+nsw+2134/list-2</t>
  </si>
  <si>
    <t>50 Oxford Street, Burwood NSW 2134</t>
  </si>
  <si>
    <t>208/9 Carilla Street, Burwood NSW 2134</t>
  </si>
  <si>
    <t>16/2-8 Park Avenue, Burwood NSW 2134</t>
  </si>
  <si>
    <t>2/18-20 Grantham Street, Burwood NSW 2134</t>
  </si>
  <si>
    <t>9/38 Belmore Street, Burwood NSW 2134</t>
  </si>
  <si>
    <t>1603C/8 Wynne Avenue, Burwood NSW 2134</t>
  </si>
  <si>
    <t>12 Shaftesbury Road, Burwood NSW 2134</t>
  </si>
  <si>
    <t>Waterloo</t>
  </si>
  <si>
    <t>507/23 Archibald Avenue, Waterloo NSW 2017</t>
  </si>
  <si>
    <t>https://www.realestate.com.au/sold/in-waterloo,+nsw+2017/list-1</t>
  </si>
  <si>
    <t>8/233 Cope Street, Waterloo NSW 2017</t>
  </si>
  <si>
    <t>305/19 Dunkerley Place, Waterloo NSW 2017</t>
  </si>
  <si>
    <t>5/2 Kensington Mews, Waterloo NSW 2017</t>
  </si>
  <si>
    <t>31/110 Wellington Street, Waterloo NSW 2017</t>
  </si>
  <si>
    <t>C309/5 Hunter Street, Waterloo NSW 2017</t>
  </si>
  <si>
    <t>326/349 George Street, Waterloo NSW 2017</t>
  </si>
  <si>
    <t>C202/5 Hunter Street, Waterloo NSW 2017</t>
  </si>
  <si>
    <t>5B/356-368 George Street, Waterloo NSW 2017</t>
  </si>
  <si>
    <t>C525/810-822 Elizabeth Street, Waterloo NSW 2017</t>
  </si>
  <si>
    <t>58/830 Bourke Street, Waterloo NSW 2017</t>
  </si>
  <si>
    <t>7/6 Archibald Avenue, Waterloo NSW 2017</t>
  </si>
  <si>
    <t>1506/15 Lachlan Street, Waterloo NSW 2017</t>
  </si>
  <si>
    <t>A34/356 George Street, Waterloo NSW 2017</t>
  </si>
  <si>
    <t>107/762-768 Elizabeth Street, Waterloo NSW 2017</t>
  </si>
  <si>
    <t>315/2-4 Powell Street, Waterloo NSW 2017</t>
  </si>
  <si>
    <t>20 Wellington Street, Waterloo NSW 2017</t>
  </si>
  <si>
    <t>406/850 Bourke Street, Waterloo NSW 2017</t>
  </si>
  <si>
    <t>330/2-4 Powell Street, Waterloo NSW 2017</t>
  </si>
  <si>
    <t>47/52-54 McEvoy Street, Waterloo NSW 2017</t>
  </si>
  <si>
    <t>318/347 George Street, Waterloo NSW 2017</t>
  </si>
  <si>
    <t>78/9 Broome Street, Waterloo NSW 2017</t>
  </si>
  <si>
    <t>305/18 Amelia Street, Waterloo NSW 2017</t>
  </si>
  <si>
    <t>230/11 Potter Street, Waterloo NSW 2017</t>
  </si>
  <si>
    <t>105/707 Elizabeth Street, Waterloo NSW 2017</t>
  </si>
  <si>
    <t>307/8 Sam Sing Street, Waterloo NSW 2017</t>
  </si>
  <si>
    <t>https://www.domain.com.au/sold-listings/waterloo-nsw-2017/apartment/1-bedroom/</t>
  </si>
  <si>
    <t>15B/356-368 George Street, Waterloo NSW 2017</t>
  </si>
  <si>
    <t>2/161-163 Phillip Street, Waterloo NSW 2017</t>
  </si>
  <si>
    <t>441/351 George Street, Waterloo NSW 2017</t>
  </si>
  <si>
    <t>517/810-822 Elizabeth Street, Waterloo NSW 2017</t>
  </si>
  <si>
    <t>133/2-4 Lachlan Street, Waterloo NSW 2017</t>
  </si>
  <si>
    <t>2/13 Potter Street, Waterloo NSW 2017</t>
  </si>
  <si>
    <t>D137/810-822 Elizabeth Street, Waterloo NSW 2017</t>
  </si>
  <si>
    <t>Inner-city mixed terrace/apartment market</t>
  </si>
  <si>
    <t>Established inner-west apartment and family-house market</t>
  </si>
  <si>
    <t>Inner-city high-density apartment market</t>
  </si>
  <si>
    <t>Mixed terraces, houses and apartments in a dense inner-city location.</t>
  </si>
  <si>
    <t>Combines high-rise apartments with larger established homes in the inner west.</t>
  </si>
  <si>
    <t>Predominantly modern apartments in a dense inner-city redevelopment precinct.</t>
  </si>
  <si>
    <t>Collected 100 distinct priced sales: 34 Newtown, 33 Burwood and 33 Waterloo, using Domain and realestate.com.au sold-results pages.</t>
  </si>
  <si>
    <t>The result pages did not consistently report year built, CBD/train distance, school zone, rates or agent description; these fields were left blank rather than estimated.</t>
  </si>
  <si>
    <t>The listing_url field contains the traceable sold-results page because individual listing URLs were not exposed in the available search results.</t>
  </si>
  <si>
    <t>Area was recorded as land size for houses and as floor area for apartments/units when displayed; missing areas were left 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</si>
</sst>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
    <numFmt numFmtId="165" formatCode="yyyy\-mm\-dd"/>
    <numFmt numFmtId="166" formatCode="0.0"/>
  </numFmts>
  <fonts count="8" x14ac:knownFonts="1">
    <font>
      <sz val="11"/>
      <color theme="1"/>
      <name val="Calibri"/>
      <family val="2"/>
      <scheme val="minor"/>
    </font>
    <font>
      <b/>
      <sz val="14"/>
      <name val="Arial"/>
    </font>
    <font>
      <b/>
      <sz val="11"/>
      <name val="Arial"/>
    </font>
    <font>
      <sz val="10"/>
      <name val="Arial"/>
    </font>
    <font>
      <sz val="9.5"/>
      <name val="Arial"/>
    </font>
    <font>
      <b/>
      <sz val="10"/>
      <color rgb="FFFFFFFF"/>
      <name val="Arial"/>
    </font>
    <font>
      <b/>
      <sz val="10"/>
      <name val="Arial"/>
    </font>
    <font>
      <b/>
      <sz val="11"/>
      <color rgb="FFFFFFFF"/>
      <name val="Calibri"/>
      <family val="2"/>
      <scheme val="minor"/>
    </font>
  </fonts>
  <fills count="3">
    <fill>
      <patternFill patternType="none"/>
    </fill>
    <fill>
      <patternFill patternType="gray125"/>
    </fill>
    <fill>
      <patternFill patternType="solid">
        <fgColor rgb="FF1F4E78"/>
        <bgColor indexed="64"/>
      </patternFill>
    </fill>
  </fills>
  <borders count="1">
    <border>
      <left/>
      <right/>
      <top/>
      <bottom/>
      <diagonal/>
    </border>
  </borders>
  <cellStyleXfs count="1">
    <xf numFmtId="0" fontId="0" fillId="0" borderId="0"/>
  </cellStyleXfs>
  <cellXfs count="15">
    <xf numFmtId="0" fontId="0" fillId="0" borderId="0" xfId="0"/>
    <xf numFmtId="0" fontId="1" fillId="0" borderId="0" xfId="0" applyFont="1"/>
    <xf numFmtId="0" fontId="2" fillId="0" borderId="0" xfId="0" applyFont="1" applyAlignment="1">
      <alignment vertical="top" wrapText="1"/>
    </xf>
    <xf numFmtId="0" fontId="3" fillId="0" borderId="0" xfId="0" applyFont="1" applyAlignment="1">
      <alignment vertical="top" wrapText="1"/>
    </xf>
    <xf numFmtId="0" fontId="4" fillId="0" borderId="0" xfId="0" applyFont="1" applyAlignment="1">
      <alignment vertical="top" wrapText="1"/>
    </xf>
    <xf numFmtId="0" fontId="6" fillId="0" borderId="0" xfId="0" applyFont="1"/>
    <xf numFmtId="0" fontId="0" fillId="0" borderId="0" xfId="0" applyAlignment="1">
      <alignment vertical="top" wrapText="1"/>
    </xf>
    <xf numFmtId="164" fontId="0" fillId="0" borderId="0" xfId="0" applyNumberFormat="1"/>
    <xf numFmtId="165" fontId="0" fillId="0" borderId="0" xfId="0" applyNumberFormat="1"/>
    <xf numFmtId="1" fontId="0" fillId="0" borderId="0" xfId="0" applyNumberFormat="1"/>
    <xf numFmtId="166" fontId="0" fillId="0" borderId="0" xfId="0" applyNumberFormat="1"/>
    <xf numFmtId="0" fontId="7" fillId="2" borderId="0" xfId="0" applyFont="1" applyFill="1" applyAlignment="1">
      <alignment horizontal="center"/>
    </xf>
    <xf numFmtId="0" fontId="0" fillId="0" borderId="0" xfId="0" applyAlignment="1">
      <alignment wrapText="1"/>
    </xf>
    <xf numFmtId="164" fontId="0" fillId="0" borderId="0" xfId="0" applyNumberFormat="1" applyAlignment="1">
      <alignment vertical="top" wrapText="1"/>
    </xf>
    <xf numFmtId="0" fontId="5" fillId="2" borderId="0" xfId="0" applyFont="1" applyFill="1"/>
  </cellXfs>
  <cellStyles count="1">
    <cellStyle name="Normal" xfId="0" builtinId="0"/>
  </cellStyles>
  <dxfs count="8">
    <dxf>
      <alignment wrapText="1"/>
    </dxf>
    <dxf>
      <numFmt numFmtId="166" formatCode="0.0"/>
    </dxf>
    <dxf>
      <numFmt numFmtId="1" formatCode="0"/>
    </dxf>
    <dxf>
      <numFmt numFmtId="1" formatCode="0"/>
    </dxf>
    <dxf>
      <numFmt numFmtId="1" formatCode="0"/>
    </dxf>
    <dxf>
      <numFmt numFmtId="165" formatCode="yyyy\-mm\-dd"/>
    </dxf>
    <dxf>
      <numFmt numFmtId="164" formatCode="&quot;$&quot;#,##0"/>
    </dxf>
    <dxf>
      <font>
        <b/>
        <color rgb="FFFFFFFF"/>
      </font>
      <fill>
        <patternFill patternType="solid">
          <fgColor indexed="64"/>
          <bgColor rgb="FF1F4E78"/>
        </patternFill>
      </fill>
      <alignment horizontal="cent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9C87862-6417-4F11-BBD8-CA58806190A5}" name="PropertySales" displayName="PropertySales" ref="A1:J101" totalsRowShown="0" headerRowDxfId="7">
  <autoFilter ref="A1:J101" xr:uid="{79C87862-6417-4F11-BBD8-CA58806190A5}"/>
  <tableColumns count="10">
    <tableColumn id="1" xr3:uid="{1897D1F8-C7D6-4A0C-BAD2-A69B9F58ACD5}" name="suburb"/>
    <tableColumn id="2" xr3:uid="{C7B062CC-FB24-450D-866E-B8B1DBF709FF}" name="address"/>
    <tableColumn id="3" xr3:uid="{C85822A2-D609-49CE-B9BC-812EA323783B}" name="property_type"/>
    <tableColumn id="4" xr3:uid="{501AF53F-CB0F-40EA-B2BB-BAE611F31382}" name="sale_price" dataDxfId="6"/>
    <tableColumn id="5" xr3:uid="{D7AF6F16-2F6C-4F7B-B6C1-F431B344D7FB}" name="sale_date" dataDxfId="5"/>
    <tableColumn id="6" xr3:uid="{501566C7-F1D2-4E0F-8063-3538A3F7B509}" name="bedrooms" dataDxfId="4"/>
    <tableColumn id="7" xr3:uid="{DCB4AFA8-BB13-4FA3-B27C-6BEEFC4D1D6F}" name="bathrooms" dataDxfId="3"/>
    <tableColumn id="8" xr3:uid="{96B9C899-64F1-42CD-A63D-ED5E476ECAD9}" name="car_spaces" dataDxfId="2"/>
    <tableColumn id="9" xr3:uid="{24214C4A-160F-4840-83DC-5838B19A40B4}" name="land_size_sqm" dataDxfId="1"/>
    <tableColumn id="16" xr3:uid="{D01A68D8-25AB-439D-A8EA-B9DAE885FBB4}" name="listing_url"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1"/>
  <sheetViews>
    <sheetView topLeftCell="A8" workbookViewId="0"/>
  </sheetViews>
  <sheetFormatPr defaultRowHeight="14.4" x14ac:dyDescent="0.3"/>
  <cols>
    <col min="1" max="1" width="100" customWidth="1"/>
  </cols>
  <sheetData>
    <row r="1" spans="1:1" ht="22.05" customHeight="1" x14ac:dyDescent="0.3">
      <c r="A1" s="1" t="s">
        <v>0</v>
      </c>
    </row>
    <row r="3" spans="1:1" ht="55.2" x14ac:dyDescent="0.3">
      <c r="A3" s="2" t="s">
        <v>1</v>
      </c>
    </row>
    <row r="5" spans="1:1" ht="39.6" x14ac:dyDescent="0.3">
      <c r="A5" s="3" t="s">
        <v>2</v>
      </c>
    </row>
    <row r="7" spans="1:1" ht="52.8" x14ac:dyDescent="0.3">
      <c r="A7" s="3" t="s">
        <v>3</v>
      </c>
    </row>
    <row r="9" spans="1:1" ht="26.4" x14ac:dyDescent="0.3">
      <c r="A9" s="3" t="s">
        <v>4</v>
      </c>
    </row>
    <row r="12" spans="1:1" x14ac:dyDescent="0.3">
      <c r="A12" s="2" t="s">
        <v>5</v>
      </c>
    </row>
    <row r="13" spans="1:1" x14ac:dyDescent="0.3">
      <c r="A13" s="4" t="s">
        <v>6</v>
      </c>
    </row>
    <row r="14" spans="1:1" x14ac:dyDescent="0.3">
      <c r="A14" s="4" t="s">
        <v>7</v>
      </c>
    </row>
    <row r="15" spans="1:1" x14ac:dyDescent="0.3">
      <c r="A15" s="4" t="s">
        <v>8</v>
      </c>
    </row>
    <row r="16" spans="1:1" x14ac:dyDescent="0.3">
      <c r="A16" s="4" t="s">
        <v>9</v>
      </c>
    </row>
    <row r="17" spans="1:1" x14ac:dyDescent="0.3">
      <c r="A17" s="4" t="s">
        <v>10</v>
      </c>
    </row>
    <row r="18" spans="1:1" x14ac:dyDescent="0.3">
      <c r="A18" s="4" t="s">
        <v>11</v>
      </c>
    </row>
    <row r="19" spans="1:1" x14ac:dyDescent="0.3">
      <c r="A19" s="4" t="s">
        <v>12</v>
      </c>
    </row>
    <row r="20" spans="1:1" x14ac:dyDescent="0.3">
      <c r="A20" s="4" t="s">
        <v>13</v>
      </c>
    </row>
    <row r="21" spans="1:1" x14ac:dyDescent="0.3">
      <c r="A21" s="4" t="s">
        <v>14</v>
      </c>
    </row>
    <row r="22" spans="1:1" x14ac:dyDescent="0.3">
      <c r="A22" s="4" t="s">
        <v>15</v>
      </c>
    </row>
    <row r="23" spans="1:1" x14ac:dyDescent="0.3">
      <c r="A23" s="4" t="s">
        <v>16</v>
      </c>
    </row>
    <row r="24" spans="1:1" x14ac:dyDescent="0.3">
      <c r="A24" s="4" t="s">
        <v>17</v>
      </c>
    </row>
    <row r="25" spans="1:1" x14ac:dyDescent="0.3">
      <c r="A25" s="4" t="s">
        <v>18</v>
      </c>
    </row>
    <row r="26" spans="1:1" x14ac:dyDescent="0.3">
      <c r="A26" s="4" t="s">
        <v>19</v>
      </c>
    </row>
    <row r="27" spans="1:1" x14ac:dyDescent="0.3">
      <c r="A27" s="4" t="s">
        <v>20</v>
      </c>
    </row>
    <row r="28" spans="1:1" x14ac:dyDescent="0.3">
      <c r="A28" s="4" t="s">
        <v>21</v>
      </c>
    </row>
    <row r="29" spans="1:1" x14ac:dyDescent="0.3">
      <c r="A29" s="4" t="s">
        <v>22</v>
      </c>
    </row>
    <row r="31" spans="1:1" ht="69" x14ac:dyDescent="0.3">
      <c r="A31" s="2" t="s">
        <v>23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01"/>
  <sheetViews>
    <sheetView tabSelected="1" workbookViewId="0">
      <pane ySplit="1" topLeftCell="A2" activePane="bottomLeft" state="frozen"/>
      <selection pane="bottomLeft" activeCell="H3" sqref="H3"/>
    </sheetView>
  </sheetViews>
  <sheetFormatPr defaultRowHeight="14.4" x14ac:dyDescent="0.3"/>
  <cols>
    <col min="1" max="1" width="15.44140625" customWidth="1"/>
    <col min="2" max="2" width="40" customWidth="1"/>
    <col min="3" max="3" width="18.21875" customWidth="1"/>
    <col min="4" max="5" width="16.33203125" customWidth="1"/>
    <col min="6" max="8" width="11.77734375" customWidth="1"/>
    <col min="9" max="15" width="19.109375" customWidth="1"/>
    <col min="16" max="17" width="36.33203125" customWidth="1"/>
  </cols>
  <sheetData>
    <row r="1" spans="1:10" x14ac:dyDescent="0.3">
      <c r="A1" s="11" t="s">
        <v>24</v>
      </c>
      <c r="B1" s="11" t="s">
        <v>25</v>
      </c>
      <c r="C1" s="11" t="s">
        <v>26</v>
      </c>
      <c r="D1" s="11" t="s">
        <v>27</v>
      </c>
      <c r="E1" s="11" t="s">
        <v>28</v>
      </c>
      <c r="F1" s="11" t="s">
        <v>29</v>
      </c>
      <c r="G1" s="11" t="s">
        <v>30</v>
      </c>
      <c r="H1" s="11" t="s">
        <v>31</v>
      </c>
      <c r="I1" s="11" t="s">
        <v>32</v>
      </c>
      <c r="J1" s="11" t="s">
        <v>48</v>
      </c>
    </row>
    <row r="2" spans="1:10" ht="57.6" x14ac:dyDescent="0.3">
      <c r="A2" t="s">
        <v>33</v>
      </c>
      <c r="B2" t="s">
        <v>49</v>
      </c>
      <c r="C2" t="s">
        <v>34</v>
      </c>
      <c r="D2" s="7">
        <v>1850000</v>
      </c>
      <c r="E2" s="8">
        <v>46269</v>
      </c>
      <c r="F2" s="9">
        <v>3</v>
      </c>
      <c r="G2" s="9">
        <v>2</v>
      </c>
      <c r="H2" s="9"/>
      <c r="I2" s="10">
        <v>132.80000000000001</v>
      </c>
      <c r="J2" s="12" t="s">
        <v>50</v>
      </c>
    </row>
    <row r="3" spans="1:10" ht="57.6" x14ac:dyDescent="0.3">
      <c r="A3" t="s">
        <v>33</v>
      </c>
      <c r="B3" t="s">
        <v>51</v>
      </c>
      <c r="C3" t="s">
        <v>52</v>
      </c>
      <c r="D3" s="7">
        <v>430000</v>
      </c>
      <c r="E3" s="8">
        <v>46269</v>
      </c>
      <c r="F3" s="9">
        <v>1</v>
      </c>
      <c r="G3" s="9">
        <v>1</v>
      </c>
      <c r="H3" s="9"/>
      <c r="I3" s="10"/>
      <c r="J3" s="12" t="s">
        <v>50</v>
      </c>
    </row>
    <row r="4" spans="1:10" ht="57.6" x14ac:dyDescent="0.3">
      <c r="A4" t="s">
        <v>33</v>
      </c>
      <c r="B4" t="s">
        <v>53</v>
      </c>
      <c r="C4" t="s">
        <v>54</v>
      </c>
      <c r="D4" s="7">
        <v>1225000</v>
      </c>
      <c r="E4" s="8">
        <v>46268</v>
      </c>
      <c r="F4" s="9">
        <v>2</v>
      </c>
      <c r="G4" s="9">
        <v>2</v>
      </c>
      <c r="H4" s="9">
        <v>1</v>
      </c>
      <c r="I4" s="10"/>
      <c r="J4" s="12" t="s">
        <v>50</v>
      </c>
    </row>
    <row r="5" spans="1:10" ht="57.6" x14ac:dyDescent="0.3">
      <c r="A5" t="s">
        <v>33</v>
      </c>
      <c r="B5" t="s">
        <v>55</v>
      </c>
      <c r="C5" t="s">
        <v>54</v>
      </c>
      <c r="D5" s="7">
        <v>920000</v>
      </c>
      <c r="E5" s="8">
        <v>46265</v>
      </c>
      <c r="F5" s="9">
        <v>2</v>
      </c>
      <c r="G5" s="9">
        <v>1</v>
      </c>
      <c r="H5" s="9">
        <v>1</v>
      </c>
      <c r="I5" s="10"/>
      <c r="J5" s="12" t="s">
        <v>50</v>
      </c>
    </row>
    <row r="6" spans="1:10" ht="57.6" x14ac:dyDescent="0.3">
      <c r="A6" t="s">
        <v>33</v>
      </c>
      <c r="B6" t="s">
        <v>56</v>
      </c>
      <c r="C6" t="s">
        <v>54</v>
      </c>
      <c r="D6" s="7">
        <v>1200000</v>
      </c>
      <c r="E6" s="8">
        <v>46262</v>
      </c>
      <c r="F6" s="9">
        <v>2</v>
      </c>
      <c r="G6" s="9">
        <v>2</v>
      </c>
      <c r="H6" s="9">
        <v>1</v>
      </c>
      <c r="I6" s="10"/>
      <c r="J6" s="12" t="s">
        <v>50</v>
      </c>
    </row>
    <row r="7" spans="1:10" ht="57.6" x14ac:dyDescent="0.3">
      <c r="A7" t="s">
        <v>33</v>
      </c>
      <c r="B7" t="s">
        <v>57</v>
      </c>
      <c r="C7" t="s">
        <v>54</v>
      </c>
      <c r="D7" s="7">
        <v>840000</v>
      </c>
      <c r="E7" s="8">
        <v>46261</v>
      </c>
      <c r="F7" s="9">
        <v>1</v>
      </c>
      <c r="G7" s="9">
        <v>1</v>
      </c>
      <c r="H7" s="9">
        <v>1</v>
      </c>
      <c r="I7" s="10"/>
      <c r="J7" s="12" t="s">
        <v>50</v>
      </c>
    </row>
    <row r="8" spans="1:10" ht="57.6" x14ac:dyDescent="0.3">
      <c r="A8" t="s">
        <v>33</v>
      </c>
      <c r="B8" t="s">
        <v>58</v>
      </c>
      <c r="C8" t="s">
        <v>34</v>
      </c>
      <c r="D8" s="7">
        <v>1200000</v>
      </c>
      <c r="E8" s="8">
        <v>46260</v>
      </c>
      <c r="F8" s="9">
        <v>1</v>
      </c>
      <c r="G8" s="9">
        <v>1</v>
      </c>
      <c r="H8" s="9">
        <v>1</v>
      </c>
      <c r="I8" s="10"/>
      <c r="J8" s="12" t="s">
        <v>50</v>
      </c>
    </row>
    <row r="9" spans="1:10" ht="57.6" x14ac:dyDescent="0.3">
      <c r="A9" t="s">
        <v>33</v>
      </c>
      <c r="B9" t="s">
        <v>59</v>
      </c>
      <c r="C9" t="s">
        <v>34</v>
      </c>
      <c r="D9" s="7">
        <v>1850000</v>
      </c>
      <c r="E9" s="8">
        <v>46254</v>
      </c>
      <c r="F9" s="9">
        <v>3</v>
      </c>
      <c r="G9" s="9">
        <v>1</v>
      </c>
      <c r="H9" s="9"/>
      <c r="I9" s="10">
        <v>120.2</v>
      </c>
      <c r="J9" s="12" t="s">
        <v>50</v>
      </c>
    </row>
    <row r="10" spans="1:10" ht="57.6" x14ac:dyDescent="0.3">
      <c r="A10" t="s">
        <v>33</v>
      </c>
      <c r="B10" t="s">
        <v>60</v>
      </c>
      <c r="C10" t="s">
        <v>54</v>
      </c>
      <c r="D10" s="7">
        <v>470000</v>
      </c>
      <c r="E10" s="8">
        <v>46254</v>
      </c>
      <c r="F10" s="9">
        <v>1</v>
      </c>
      <c r="G10" s="9">
        <v>1</v>
      </c>
      <c r="H10" s="9"/>
      <c r="I10" s="10"/>
      <c r="J10" s="12" t="s">
        <v>50</v>
      </c>
    </row>
    <row r="11" spans="1:10" ht="57.6" x14ac:dyDescent="0.3">
      <c r="A11" t="s">
        <v>33</v>
      </c>
      <c r="B11" t="s">
        <v>61</v>
      </c>
      <c r="C11" t="s">
        <v>34</v>
      </c>
      <c r="D11" s="7">
        <v>1950000</v>
      </c>
      <c r="E11" s="8">
        <v>46252</v>
      </c>
      <c r="F11" s="9">
        <v>3</v>
      </c>
      <c r="G11" s="9">
        <v>1</v>
      </c>
      <c r="H11" s="9">
        <v>1</v>
      </c>
      <c r="I11" s="10">
        <v>196</v>
      </c>
      <c r="J11" s="12" t="s">
        <v>50</v>
      </c>
    </row>
    <row r="12" spans="1:10" ht="57.6" x14ac:dyDescent="0.3">
      <c r="A12" t="s">
        <v>33</v>
      </c>
      <c r="B12" t="s">
        <v>62</v>
      </c>
      <c r="C12" t="s">
        <v>34</v>
      </c>
      <c r="D12" s="7">
        <v>2280000</v>
      </c>
      <c r="E12" s="8">
        <v>46248</v>
      </c>
      <c r="F12" s="9">
        <v>3</v>
      </c>
      <c r="G12" s="9">
        <v>2</v>
      </c>
      <c r="H12" s="9">
        <v>1</v>
      </c>
      <c r="I12" s="10">
        <v>109</v>
      </c>
      <c r="J12" s="12" t="s">
        <v>50</v>
      </c>
    </row>
    <row r="13" spans="1:10" ht="57.6" x14ac:dyDescent="0.3">
      <c r="A13" t="s">
        <v>33</v>
      </c>
      <c r="B13" t="s">
        <v>63</v>
      </c>
      <c r="C13" t="s">
        <v>64</v>
      </c>
      <c r="D13" s="7">
        <v>762500</v>
      </c>
      <c r="E13" s="8">
        <v>46246</v>
      </c>
      <c r="F13" s="9">
        <v>1</v>
      </c>
      <c r="G13" s="9">
        <v>1</v>
      </c>
      <c r="H13" s="9">
        <v>1</v>
      </c>
      <c r="I13" s="10"/>
      <c r="J13" s="12" t="s">
        <v>50</v>
      </c>
    </row>
    <row r="14" spans="1:10" ht="57.6" x14ac:dyDescent="0.3">
      <c r="A14" t="s">
        <v>33</v>
      </c>
      <c r="B14" t="s">
        <v>65</v>
      </c>
      <c r="C14" t="s">
        <v>34</v>
      </c>
      <c r="D14" s="7">
        <v>1655000</v>
      </c>
      <c r="E14" s="8">
        <v>46241</v>
      </c>
      <c r="F14" s="9">
        <v>2</v>
      </c>
      <c r="G14" s="9">
        <v>1</v>
      </c>
      <c r="H14" s="9"/>
      <c r="I14" s="10">
        <v>113</v>
      </c>
      <c r="J14" s="12" t="s">
        <v>50</v>
      </c>
    </row>
    <row r="15" spans="1:10" ht="57.6" x14ac:dyDescent="0.3">
      <c r="A15" t="s">
        <v>33</v>
      </c>
      <c r="B15" t="s">
        <v>66</v>
      </c>
      <c r="C15" t="s">
        <v>67</v>
      </c>
      <c r="D15" s="7">
        <v>1530000</v>
      </c>
      <c r="E15" s="8">
        <v>46241</v>
      </c>
      <c r="F15" s="9">
        <v>2</v>
      </c>
      <c r="G15" s="9">
        <v>1</v>
      </c>
      <c r="H15" s="9"/>
      <c r="I15" s="10"/>
      <c r="J15" s="12" t="s">
        <v>50</v>
      </c>
    </row>
    <row r="16" spans="1:10" ht="57.6" x14ac:dyDescent="0.3">
      <c r="A16" t="s">
        <v>33</v>
      </c>
      <c r="B16" t="s">
        <v>68</v>
      </c>
      <c r="C16" t="s">
        <v>54</v>
      </c>
      <c r="D16" s="7">
        <v>1180000</v>
      </c>
      <c r="E16" s="8">
        <v>46241</v>
      </c>
      <c r="F16" s="9">
        <v>2</v>
      </c>
      <c r="G16" s="9">
        <v>2</v>
      </c>
      <c r="H16" s="9">
        <v>1</v>
      </c>
      <c r="I16" s="10"/>
      <c r="J16" s="12" t="s">
        <v>50</v>
      </c>
    </row>
    <row r="17" spans="1:10" ht="57.6" x14ac:dyDescent="0.3">
      <c r="A17" t="s">
        <v>33</v>
      </c>
      <c r="B17" t="s">
        <v>69</v>
      </c>
      <c r="C17" t="s">
        <v>54</v>
      </c>
      <c r="D17" s="7">
        <v>800000</v>
      </c>
      <c r="E17" s="8">
        <v>46241</v>
      </c>
      <c r="F17" s="9">
        <v>1</v>
      </c>
      <c r="G17" s="9">
        <v>1</v>
      </c>
      <c r="H17" s="9">
        <v>1</v>
      </c>
      <c r="I17" s="10"/>
      <c r="J17" s="12" t="s">
        <v>50</v>
      </c>
    </row>
    <row r="18" spans="1:10" ht="57.6" x14ac:dyDescent="0.3">
      <c r="A18" t="s">
        <v>33</v>
      </c>
      <c r="B18" t="s">
        <v>70</v>
      </c>
      <c r="C18" t="s">
        <v>34</v>
      </c>
      <c r="D18" s="7">
        <v>1500000</v>
      </c>
      <c r="E18" s="8">
        <v>46240</v>
      </c>
      <c r="F18" s="9">
        <v>3</v>
      </c>
      <c r="G18" s="9">
        <v>2</v>
      </c>
      <c r="H18" s="9"/>
      <c r="I18" s="10">
        <v>143</v>
      </c>
      <c r="J18" s="12" t="s">
        <v>50</v>
      </c>
    </row>
    <row r="19" spans="1:10" ht="57.6" x14ac:dyDescent="0.3">
      <c r="A19" t="s">
        <v>33</v>
      </c>
      <c r="B19" t="s">
        <v>71</v>
      </c>
      <c r="C19" t="s">
        <v>54</v>
      </c>
      <c r="D19" s="7">
        <v>1100000</v>
      </c>
      <c r="E19" s="8">
        <v>46240</v>
      </c>
      <c r="F19" s="9">
        <v>2</v>
      </c>
      <c r="G19" s="9">
        <v>2</v>
      </c>
      <c r="H19" s="9">
        <v>1</v>
      </c>
      <c r="I19" s="10"/>
      <c r="J19" s="12" t="s">
        <v>50</v>
      </c>
    </row>
    <row r="20" spans="1:10" ht="57.6" x14ac:dyDescent="0.3">
      <c r="A20" t="s">
        <v>33</v>
      </c>
      <c r="B20" t="s">
        <v>72</v>
      </c>
      <c r="C20" t="s">
        <v>34</v>
      </c>
      <c r="D20" s="7">
        <v>1608000</v>
      </c>
      <c r="E20" s="8">
        <v>46239</v>
      </c>
      <c r="F20" s="9">
        <v>2</v>
      </c>
      <c r="G20" s="9">
        <v>1</v>
      </c>
      <c r="H20" s="9"/>
      <c r="I20" s="10"/>
      <c r="J20" s="12" t="s">
        <v>50</v>
      </c>
    </row>
    <row r="21" spans="1:10" ht="57.6" x14ac:dyDescent="0.3">
      <c r="A21" t="s">
        <v>33</v>
      </c>
      <c r="B21" t="s">
        <v>73</v>
      </c>
      <c r="C21" t="s">
        <v>34</v>
      </c>
      <c r="D21" s="7">
        <v>1815000</v>
      </c>
      <c r="E21" s="8">
        <v>46238</v>
      </c>
      <c r="F21" s="9">
        <v>3</v>
      </c>
      <c r="G21" s="9">
        <v>1</v>
      </c>
      <c r="H21" s="9"/>
      <c r="I21" s="10">
        <v>196</v>
      </c>
      <c r="J21" s="12" t="s">
        <v>50</v>
      </c>
    </row>
    <row r="22" spans="1:10" ht="57.6" x14ac:dyDescent="0.3">
      <c r="A22" t="s">
        <v>33</v>
      </c>
      <c r="B22" t="s">
        <v>74</v>
      </c>
      <c r="C22" t="s">
        <v>75</v>
      </c>
      <c r="D22" s="7">
        <v>1320000</v>
      </c>
      <c r="E22" s="8">
        <v>46236</v>
      </c>
      <c r="F22" s="9">
        <v>2</v>
      </c>
      <c r="G22" s="9">
        <v>2</v>
      </c>
      <c r="H22" s="9">
        <v>1</v>
      </c>
      <c r="I22" s="10"/>
      <c r="J22" s="12" t="s">
        <v>50</v>
      </c>
    </row>
    <row r="23" spans="1:10" ht="57.6" x14ac:dyDescent="0.3">
      <c r="A23" t="s">
        <v>33</v>
      </c>
      <c r="B23" t="s">
        <v>76</v>
      </c>
      <c r="C23" t="s">
        <v>34</v>
      </c>
      <c r="D23" s="7">
        <v>2451000</v>
      </c>
      <c r="E23" s="8">
        <v>46235</v>
      </c>
      <c r="F23" s="9">
        <v>4</v>
      </c>
      <c r="G23" s="9">
        <v>3</v>
      </c>
      <c r="H23" s="9">
        <v>1</v>
      </c>
      <c r="I23" s="10">
        <v>151</v>
      </c>
      <c r="J23" s="12" t="s">
        <v>50</v>
      </c>
    </row>
    <row r="24" spans="1:10" ht="57.6" x14ac:dyDescent="0.3">
      <c r="A24" t="s">
        <v>33</v>
      </c>
      <c r="B24" t="s">
        <v>77</v>
      </c>
      <c r="C24" t="s">
        <v>54</v>
      </c>
      <c r="D24" s="7">
        <v>1060000</v>
      </c>
      <c r="E24" s="8">
        <v>46234</v>
      </c>
      <c r="F24" s="9">
        <v>2</v>
      </c>
      <c r="G24" s="9">
        <v>2</v>
      </c>
      <c r="H24" s="9">
        <v>1</v>
      </c>
      <c r="I24" s="10"/>
      <c r="J24" s="12" t="s">
        <v>50</v>
      </c>
    </row>
    <row r="25" spans="1:10" ht="57.6" x14ac:dyDescent="0.3">
      <c r="A25" t="s">
        <v>33</v>
      </c>
      <c r="B25" t="s">
        <v>78</v>
      </c>
      <c r="C25" t="s">
        <v>34</v>
      </c>
      <c r="D25" s="7">
        <v>1640000</v>
      </c>
      <c r="E25" s="8">
        <v>46228</v>
      </c>
      <c r="F25" s="9">
        <v>3</v>
      </c>
      <c r="G25" s="9">
        <v>1</v>
      </c>
      <c r="H25" s="9"/>
      <c r="I25" s="10">
        <v>120.1</v>
      </c>
      <c r="J25" s="12" t="s">
        <v>50</v>
      </c>
    </row>
    <row r="26" spans="1:10" ht="57.6" x14ac:dyDescent="0.3">
      <c r="A26" t="s">
        <v>33</v>
      </c>
      <c r="B26" t="s">
        <v>79</v>
      </c>
      <c r="C26" t="s">
        <v>54</v>
      </c>
      <c r="D26" s="7">
        <v>770000</v>
      </c>
      <c r="E26" s="8">
        <v>46228</v>
      </c>
      <c r="F26" s="9">
        <v>1</v>
      </c>
      <c r="G26" s="9">
        <v>1</v>
      </c>
      <c r="H26" s="9"/>
      <c r="I26" s="10"/>
      <c r="J26" s="12" t="s">
        <v>50</v>
      </c>
    </row>
    <row r="27" spans="1:10" ht="57.6" x14ac:dyDescent="0.3">
      <c r="A27" t="s">
        <v>33</v>
      </c>
      <c r="B27" t="s">
        <v>80</v>
      </c>
      <c r="C27" t="s">
        <v>34</v>
      </c>
      <c r="D27" s="7">
        <v>1600000</v>
      </c>
      <c r="E27" s="8">
        <v>46126</v>
      </c>
      <c r="F27" s="9">
        <v>2</v>
      </c>
      <c r="G27" s="9">
        <v>1</v>
      </c>
      <c r="H27" s="9"/>
      <c r="I27" s="10">
        <v>133</v>
      </c>
      <c r="J27" s="12" t="s">
        <v>81</v>
      </c>
    </row>
    <row r="28" spans="1:10" ht="57.6" x14ac:dyDescent="0.3">
      <c r="A28" t="s">
        <v>33</v>
      </c>
      <c r="B28" t="s">
        <v>82</v>
      </c>
      <c r="C28" t="s">
        <v>34</v>
      </c>
      <c r="D28" s="7">
        <v>1500000</v>
      </c>
      <c r="E28" s="8">
        <v>46121</v>
      </c>
      <c r="F28" s="9">
        <v>2</v>
      </c>
      <c r="G28" s="9">
        <v>1</v>
      </c>
      <c r="H28" s="9"/>
      <c r="I28" s="10"/>
      <c r="J28" s="12" t="s">
        <v>81</v>
      </c>
    </row>
    <row r="29" spans="1:10" ht="57.6" x14ac:dyDescent="0.3">
      <c r="A29" t="s">
        <v>33</v>
      </c>
      <c r="B29" t="s">
        <v>83</v>
      </c>
      <c r="C29" t="s">
        <v>34</v>
      </c>
      <c r="D29" s="7">
        <v>2855000</v>
      </c>
      <c r="E29" s="8">
        <v>46108</v>
      </c>
      <c r="F29" s="9">
        <v>3</v>
      </c>
      <c r="G29" s="9">
        <v>3</v>
      </c>
      <c r="H29" s="9"/>
      <c r="I29" s="10">
        <v>133</v>
      </c>
      <c r="J29" s="12" t="s">
        <v>81</v>
      </c>
    </row>
    <row r="30" spans="1:10" ht="57.6" x14ac:dyDescent="0.3">
      <c r="A30" t="s">
        <v>33</v>
      </c>
      <c r="B30" t="s">
        <v>84</v>
      </c>
      <c r="C30" t="s">
        <v>34</v>
      </c>
      <c r="D30" s="7">
        <v>1750000</v>
      </c>
      <c r="E30" s="8">
        <v>46105</v>
      </c>
      <c r="F30" s="9">
        <v>3</v>
      </c>
      <c r="G30" s="9">
        <v>1</v>
      </c>
      <c r="H30" s="9"/>
      <c r="I30" s="10">
        <v>155</v>
      </c>
      <c r="J30" s="12" t="s">
        <v>81</v>
      </c>
    </row>
    <row r="31" spans="1:10" ht="57.6" x14ac:dyDescent="0.3">
      <c r="A31" t="s">
        <v>33</v>
      </c>
      <c r="B31" t="s">
        <v>85</v>
      </c>
      <c r="C31" t="s">
        <v>34</v>
      </c>
      <c r="D31" s="7">
        <v>2470000</v>
      </c>
      <c r="E31" s="8">
        <v>46095</v>
      </c>
      <c r="F31" s="9">
        <v>3</v>
      </c>
      <c r="G31" s="9">
        <v>1</v>
      </c>
      <c r="H31" s="9"/>
      <c r="I31" s="10">
        <v>209</v>
      </c>
      <c r="J31" s="12" t="s">
        <v>81</v>
      </c>
    </row>
    <row r="32" spans="1:10" ht="57.6" x14ac:dyDescent="0.3">
      <c r="A32" t="s">
        <v>33</v>
      </c>
      <c r="B32" t="s">
        <v>86</v>
      </c>
      <c r="C32" t="s">
        <v>34</v>
      </c>
      <c r="D32" s="7">
        <v>1715000</v>
      </c>
      <c r="E32" s="8">
        <v>46094</v>
      </c>
      <c r="F32" s="9">
        <v>2</v>
      </c>
      <c r="G32" s="9">
        <v>1</v>
      </c>
      <c r="H32" s="9"/>
      <c r="I32" s="10"/>
      <c r="J32" s="12" t="s">
        <v>81</v>
      </c>
    </row>
    <row r="33" spans="1:10" ht="57.6" x14ac:dyDescent="0.3">
      <c r="A33" t="s">
        <v>33</v>
      </c>
      <c r="B33" t="s">
        <v>87</v>
      </c>
      <c r="C33" t="s">
        <v>34</v>
      </c>
      <c r="D33" s="7">
        <v>1980000</v>
      </c>
      <c r="E33" s="8">
        <v>46091</v>
      </c>
      <c r="F33" s="9">
        <v>2</v>
      </c>
      <c r="G33" s="9">
        <v>1</v>
      </c>
      <c r="H33" s="9"/>
      <c r="I33" s="10">
        <v>147</v>
      </c>
      <c r="J33" s="12" t="s">
        <v>81</v>
      </c>
    </row>
    <row r="34" spans="1:10" ht="57.6" x14ac:dyDescent="0.3">
      <c r="A34" t="s">
        <v>33</v>
      </c>
      <c r="B34" t="s">
        <v>88</v>
      </c>
      <c r="C34" t="s">
        <v>34</v>
      </c>
      <c r="D34" s="7">
        <v>1800000</v>
      </c>
      <c r="E34" s="8">
        <v>46091</v>
      </c>
      <c r="F34" s="9">
        <v>2</v>
      </c>
      <c r="G34" s="9">
        <v>1</v>
      </c>
      <c r="H34" s="9"/>
      <c r="I34" s="10">
        <v>126</v>
      </c>
      <c r="J34" s="12" t="s">
        <v>81</v>
      </c>
    </row>
    <row r="35" spans="1:10" ht="57.6" x14ac:dyDescent="0.3">
      <c r="A35" t="s">
        <v>33</v>
      </c>
      <c r="B35" t="s">
        <v>89</v>
      </c>
      <c r="C35" t="s">
        <v>34</v>
      </c>
      <c r="D35" s="7">
        <v>1670000</v>
      </c>
      <c r="E35" s="8">
        <v>46082</v>
      </c>
      <c r="F35" s="9">
        <v>2</v>
      </c>
      <c r="G35" s="9">
        <v>1</v>
      </c>
      <c r="H35" s="9"/>
      <c r="I35" s="10">
        <v>122</v>
      </c>
      <c r="J35" s="12" t="s">
        <v>81</v>
      </c>
    </row>
    <row r="36" spans="1:10" ht="57.6" x14ac:dyDescent="0.3">
      <c r="A36" t="s">
        <v>90</v>
      </c>
      <c r="B36" t="s">
        <v>91</v>
      </c>
      <c r="C36" t="s">
        <v>54</v>
      </c>
      <c r="D36" s="7">
        <v>1230000</v>
      </c>
      <c r="E36" s="8">
        <v>46270</v>
      </c>
      <c r="F36" s="9">
        <v>3</v>
      </c>
      <c r="G36" s="9">
        <v>2</v>
      </c>
      <c r="H36" s="9">
        <v>2</v>
      </c>
      <c r="I36" s="10"/>
      <c r="J36" s="12" t="s">
        <v>92</v>
      </c>
    </row>
    <row r="37" spans="1:10" ht="57.6" x14ac:dyDescent="0.3">
      <c r="A37" t="s">
        <v>90</v>
      </c>
      <c r="B37" t="s">
        <v>93</v>
      </c>
      <c r="C37" t="s">
        <v>34</v>
      </c>
      <c r="D37" s="7">
        <v>1700000</v>
      </c>
      <c r="E37" s="8">
        <v>46269</v>
      </c>
      <c r="F37" s="9">
        <v>3</v>
      </c>
      <c r="G37" s="9">
        <v>1</v>
      </c>
      <c r="H37" s="9">
        <v>4</v>
      </c>
      <c r="I37" s="10">
        <v>613.29999999999995</v>
      </c>
      <c r="J37" s="12" t="s">
        <v>92</v>
      </c>
    </row>
    <row r="38" spans="1:10" ht="57.6" x14ac:dyDescent="0.3">
      <c r="A38" t="s">
        <v>90</v>
      </c>
      <c r="B38" t="s">
        <v>94</v>
      </c>
      <c r="C38" t="s">
        <v>54</v>
      </c>
      <c r="D38" s="7">
        <v>1245000</v>
      </c>
      <c r="E38" s="8">
        <v>46269</v>
      </c>
      <c r="F38" s="9">
        <v>3</v>
      </c>
      <c r="G38" s="9">
        <v>2</v>
      </c>
      <c r="H38" s="9">
        <v>2</v>
      </c>
      <c r="I38" s="10"/>
      <c r="J38" s="12" t="s">
        <v>92</v>
      </c>
    </row>
    <row r="39" spans="1:10" ht="57.6" x14ac:dyDescent="0.3">
      <c r="A39" t="s">
        <v>90</v>
      </c>
      <c r="B39" t="s">
        <v>95</v>
      </c>
      <c r="C39" t="s">
        <v>54</v>
      </c>
      <c r="D39" s="7">
        <v>890000</v>
      </c>
      <c r="E39" s="8">
        <v>46269</v>
      </c>
      <c r="F39" s="9">
        <v>2</v>
      </c>
      <c r="G39" s="9">
        <v>2</v>
      </c>
      <c r="H39" s="9">
        <v>1</v>
      </c>
      <c r="I39" s="10"/>
      <c r="J39" s="12" t="s">
        <v>92</v>
      </c>
    </row>
    <row r="40" spans="1:10" ht="57.6" x14ac:dyDescent="0.3">
      <c r="A40" t="s">
        <v>90</v>
      </c>
      <c r="B40" t="s">
        <v>96</v>
      </c>
      <c r="C40" t="s">
        <v>54</v>
      </c>
      <c r="D40" s="7">
        <v>1360000</v>
      </c>
      <c r="E40" s="8">
        <v>46266</v>
      </c>
      <c r="F40" s="9">
        <v>2</v>
      </c>
      <c r="G40" s="9">
        <v>2</v>
      </c>
      <c r="H40" s="9">
        <v>2</v>
      </c>
      <c r="I40" s="10"/>
      <c r="J40" s="12" t="s">
        <v>92</v>
      </c>
    </row>
    <row r="41" spans="1:10" ht="57.6" x14ac:dyDescent="0.3">
      <c r="A41" t="s">
        <v>90</v>
      </c>
      <c r="B41" t="s">
        <v>97</v>
      </c>
      <c r="C41" t="s">
        <v>98</v>
      </c>
      <c r="D41" s="7">
        <v>2330000</v>
      </c>
      <c r="E41" s="8">
        <v>46263</v>
      </c>
      <c r="F41" s="9">
        <v>3</v>
      </c>
      <c r="G41" s="9">
        <v>2</v>
      </c>
      <c r="H41" s="9">
        <v>3</v>
      </c>
      <c r="I41" s="10">
        <v>306.5</v>
      </c>
      <c r="J41" s="12" t="s">
        <v>92</v>
      </c>
    </row>
    <row r="42" spans="1:10" ht="57.6" x14ac:dyDescent="0.3">
      <c r="A42" t="s">
        <v>90</v>
      </c>
      <c r="B42" t="s">
        <v>99</v>
      </c>
      <c r="C42" t="s">
        <v>54</v>
      </c>
      <c r="D42" s="7">
        <v>845000</v>
      </c>
      <c r="E42" s="8">
        <v>46255</v>
      </c>
      <c r="F42" s="9">
        <v>2</v>
      </c>
      <c r="G42" s="9">
        <v>1</v>
      </c>
      <c r="H42" s="9">
        <v>1</v>
      </c>
      <c r="I42" s="10"/>
      <c r="J42" s="12" t="s">
        <v>92</v>
      </c>
    </row>
    <row r="43" spans="1:10" ht="57.6" x14ac:dyDescent="0.3">
      <c r="A43" t="s">
        <v>90</v>
      </c>
      <c r="B43" t="s">
        <v>100</v>
      </c>
      <c r="C43" t="s">
        <v>54</v>
      </c>
      <c r="D43" s="7">
        <v>751000</v>
      </c>
      <c r="E43" s="8">
        <v>46253</v>
      </c>
      <c r="F43" s="9">
        <v>1</v>
      </c>
      <c r="G43" s="9">
        <v>1</v>
      </c>
      <c r="H43" s="9">
        <v>1</v>
      </c>
      <c r="I43" s="10"/>
      <c r="J43" s="12" t="s">
        <v>92</v>
      </c>
    </row>
    <row r="44" spans="1:10" ht="57.6" x14ac:dyDescent="0.3">
      <c r="A44" t="s">
        <v>90</v>
      </c>
      <c r="B44" t="s">
        <v>101</v>
      </c>
      <c r="C44" t="s">
        <v>54</v>
      </c>
      <c r="D44" s="7">
        <v>725000</v>
      </c>
      <c r="E44" s="8">
        <v>46247</v>
      </c>
      <c r="F44" s="9">
        <v>2</v>
      </c>
      <c r="G44" s="9">
        <v>1</v>
      </c>
      <c r="H44" s="9">
        <v>1</v>
      </c>
      <c r="I44" s="10"/>
      <c r="J44" s="12" t="s">
        <v>92</v>
      </c>
    </row>
    <row r="45" spans="1:10" ht="57.6" x14ac:dyDescent="0.3">
      <c r="A45" t="s">
        <v>90</v>
      </c>
      <c r="B45" t="s">
        <v>102</v>
      </c>
      <c r="C45" t="s">
        <v>54</v>
      </c>
      <c r="D45" s="7">
        <v>688000</v>
      </c>
      <c r="E45" s="8">
        <v>46245</v>
      </c>
      <c r="F45" s="9">
        <v>1</v>
      </c>
      <c r="G45" s="9">
        <v>1</v>
      </c>
      <c r="H45" s="9">
        <v>1</v>
      </c>
      <c r="I45" s="10"/>
      <c r="J45" s="12" t="s">
        <v>92</v>
      </c>
    </row>
    <row r="46" spans="1:10" ht="57.6" x14ac:dyDescent="0.3">
      <c r="A46" t="s">
        <v>90</v>
      </c>
      <c r="B46" t="s">
        <v>103</v>
      </c>
      <c r="C46" t="s">
        <v>54</v>
      </c>
      <c r="D46" s="7">
        <v>855000</v>
      </c>
      <c r="E46" s="8">
        <v>46241</v>
      </c>
      <c r="F46" s="9">
        <v>2</v>
      </c>
      <c r="G46" s="9">
        <v>2</v>
      </c>
      <c r="H46" s="9">
        <v>1</v>
      </c>
      <c r="I46" s="10"/>
      <c r="J46" s="12" t="s">
        <v>92</v>
      </c>
    </row>
    <row r="47" spans="1:10" ht="57.6" x14ac:dyDescent="0.3">
      <c r="A47" t="s">
        <v>90</v>
      </c>
      <c r="B47" t="s">
        <v>104</v>
      </c>
      <c r="C47" t="s">
        <v>54</v>
      </c>
      <c r="D47" s="7">
        <v>1060000</v>
      </c>
      <c r="E47" s="8">
        <v>46239</v>
      </c>
      <c r="F47" s="9">
        <v>2</v>
      </c>
      <c r="G47" s="9">
        <v>2</v>
      </c>
      <c r="H47" s="9">
        <v>1</v>
      </c>
      <c r="I47" s="10"/>
      <c r="J47" s="12" t="s">
        <v>92</v>
      </c>
    </row>
    <row r="48" spans="1:10" ht="57.6" x14ac:dyDescent="0.3">
      <c r="A48" t="s">
        <v>90</v>
      </c>
      <c r="B48" t="s">
        <v>105</v>
      </c>
      <c r="C48" t="s">
        <v>54</v>
      </c>
      <c r="D48" s="7">
        <v>555000</v>
      </c>
      <c r="E48" s="8">
        <v>46233</v>
      </c>
      <c r="F48" s="9">
        <v>1</v>
      </c>
      <c r="G48" s="9">
        <v>1</v>
      </c>
      <c r="H48" s="9">
        <v>1</v>
      </c>
      <c r="I48" s="10"/>
      <c r="J48" s="12" t="s">
        <v>92</v>
      </c>
    </row>
    <row r="49" spans="1:10" ht="57.6" x14ac:dyDescent="0.3">
      <c r="A49" t="s">
        <v>90</v>
      </c>
      <c r="B49" t="s">
        <v>106</v>
      </c>
      <c r="C49" t="s">
        <v>54</v>
      </c>
      <c r="D49" s="7">
        <v>940000</v>
      </c>
      <c r="E49" s="8">
        <v>46227</v>
      </c>
      <c r="F49" s="9">
        <v>2</v>
      </c>
      <c r="G49" s="9">
        <v>2</v>
      </c>
      <c r="H49" s="9">
        <v>1</v>
      </c>
      <c r="I49" s="10"/>
      <c r="J49" s="12" t="s">
        <v>92</v>
      </c>
    </row>
    <row r="50" spans="1:10" ht="57.6" x14ac:dyDescent="0.3">
      <c r="A50" t="s">
        <v>90</v>
      </c>
      <c r="B50" t="s">
        <v>107</v>
      </c>
      <c r="C50" t="s">
        <v>34</v>
      </c>
      <c r="D50" s="7">
        <v>2520000</v>
      </c>
      <c r="E50" s="8">
        <v>46225</v>
      </c>
      <c r="F50" s="9">
        <v>4</v>
      </c>
      <c r="G50" s="9">
        <v>2</v>
      </c>
      <c r="H50" s="9">
        <v>2</v>
      </c>
      <c r="I50" s="10">
        <v>291</v>
      </c>
      <c r="J50" s="12" t="s">
        <v>92</v>
      </c>
    </row>
    <row r="51" spans="1:10" ht="57.6" x14ac:dyDescent="0.3">
      <c r="A51" t="s">
        <v>90</v>
      </c>
      <c r="B51" t="s">
        <v>108</v>
      </c>
      <c r="C51" t="s">
        <v>54</v>
      </c>
      <c r="D51" s="7">
        <v>961000</v>
      </c>
      <c r="E51" s="8">
        <v>46214</v>
      </c>
      <c r="F51" s="9">
        <v>2</v>
      </c>
      <c r="G51" s="9">
        <v>2</v>
      </c>
      <c r="H51" s="9">
        <v>2</v>
      </c>
      <c r="I51" s="10"/>
      <c r="J51" s="12" t="s">
        <v>92</v>
      </c>
    </row>
    <row r="52" spans="1:10" ht="57.6" x14ac:dyDescent="0.3">
      <c r="A52" t="s">
        <v>90</v>
      </c>
      <c r="B52" t="s">
        <v>109</v>
      </c>
      <c r="C52" t="s">
        <v>54</v>
      </c>
      <c r="D52" s="7">
        <v>850000</v>
      </c>
      <c r="E52" s="8">
        <v>46210</v>
      </c>
      <c r="F52" s="9">
        <v>2</v>
      </c>
      <c r="G52" s="9">
        <v>2</v>
      </c>
      <c r="H52" s="9">
        <v>1</v>
      </c>
      <c r="I52" s="10"/>
      <c r="J52" s="12" t="s">
        <v>92</v>
      </c>
    </row>
    <row r="53" spans="1:10" ht="57.6" x14ac:dyDescent="0.3">
      <c r="A53" t="s">
        <v>90</v>
      </c>
      <c r="B53" t="s">
        <v>110</v>
      </c>
      <c r="C53" t="s">
        <v>54</v>
      </c>
      <c r="D53" s="7">
        <v>790000</v>
      </c>
      <c r="E53" s="8">
        <v>46209</v>
      </c>
      <c r="F53" s="9">
        <v>2</v>
      </c>
      <c r="G53" s="9">
        <v>2</v>
      </c>
      <c r="H53" s="9">
        <v>2</v>
      </c>
      <c r="I53" s="10"/>
      <c r="J53" s="12" t="s">
        <v>92</v>
      </c>
    </row>
    <row r="54" spans="1:10" ht="57.6" x14ac:dyDescent="0.3">
      <c r="A54" t="s">
        <v>90</v>
      </c>
      <c r="B54" t="s">
        <v>111</v>
      </c>
      <c r="C54" t="s">
        <v>54</v>
      </c>
      <c r="D54" s="7">
        <v>970000</v>
      </c>
      <c r="E54" s="8">
        <v>46206</v>
      </c>
      <c r="F54" s="9">
        <v>2</v>
      </c>
      <c r="G54" s="9">
        <v>2</v>
      </c>
      <c r="H54" s="9">
        <v>1</v>
      </c>
      <c r="I54" s="10"/>
      <c r="J54" s="12" t="s">
        <v>92</v>
      </c>
    </row>
    <row r="55" spans="1:10" ht="57.6" x14ac:dyDescent="0.3">
      <c r="A55" t="s">
        <v>90</v>
      </c>
      <c r="B55" t="s">
        <v>112</v>
      </c>
      <c r="C55" t="s">
        <v>54</v>
      </c>
      <c r="D55" s="7">
        <v>722000</v>
      </c>
      <c r="E55" s="8">
        <v>46205</v>
      </c>
      <c r="F55" s="9">
        <v>1</v>
      </c>
      <c r="G55" s="9">
        <v>1</v>
      </c>
      <c r="H55" s="9">
        <v>1</v>
      </c>
      <c r="I55" s="10"/>
      <c r="J55" s="12" t="s">
        <v>92</v>
      </c>
    </row>
    <row r="56" spans="1:10" ht="57.6" x14ac:dyDescent="0.3">
      <c r="A56" t="s">
        <v>90</v>
      </c>
      <c r="B56" t="s">
        <v>113</v>
      </c>
      <c r="C56" t="s">
        <v>54</v>
      </c>
      <c r="D56" s="7">
        <v>820000</v>
      </c>
      <c r="E56" s="8">
        <v>46200</v>
      </c>
      <c r="F56" s="9">
        <v>2</v>
      </c>
      <c r="G56" s="9">
        <v>2</v>
      </c>
      <c r="H56" s="9">
        <v>1</v>
      </c>
      <c r="I56" s="10"/>
      <c r="J56" s="12" t="s">
        <v>92</v>
      </c>
    </row>
    <row r="57" spans="1:10" ht="57.6" x14ac:dyDescent="0.3">
      <c r="A57" t="s">
        <v>90</v>
      </c>
      <c r="B57" t="s">
        <v>114</v>
      </c>
      <c r="C57" t="s">
        <v>64</v>
      </c>
      <c r="D57" s="7">
        <v>800880</v>
      </c>
      <c r="E57" s="8">
        <v>46199</v>
      </c>
      <c r="F57" s="9">
        <v>2</v>
      </c>
      <c r="G57" s="9">
        <v>1</v>
      </c>
      <c r="H57" s="9">
        <v>1</v>
      </c>
      <c r="I57" s="10"/>
      <c r="J57" s="12" t="s">
        <v>92</v>
      </c>
    </row>
    <row r="58" spans="1:10" ht="57.6" x14ac:dyDescent="0.3">
      <c r="A58" t="s">
        <v>90</v>
      </c>
      <c r="B58" t="s">
        <v>115</v>
      </c>
      <c r="C58" t="s">
        <v>54</v>
      </c>
      <c r="D58" s="7">
        <v>735000</v>
      </c>
      <c r="E58" s="8">
        <v>46197</v>
      </c>
      <c r="F58" s="9">
        <v>1</v>
      </c>
      <c r="G58" s="9">
        <v>1</v>
      </c>
      <c r="H58" s="9">
        <v>1</v>
      </c>
      <c r="I58" s="10"/>
      <c r="J58" s="12" t="s">
        <v>92</v>
      </c>
    </row>
    <row r="59" spans="1:10" ht="57.6" x14ac:dyDescent="0.3">
      <c r="A59" t="s">
        <v>90</v>
      </c>
      <c r="B59" t="s">
        <v>116</v>
      </c>
      <c r="C59" t="s">
        <v>54</v>
      </c>
      <c r="D59" s="7">
        <v>1220000</v>
      </c>
      <c r="E59" s="8">
        <v>46188</v>
      </c>
      <c r="F59" s="9">
        <v>3</v>
      </c>
      <c r="G59" s="9">
        <v>2</v>
      </c>
      <c r="H59" s="9">
        <v>2</v>
      </c>
      <c r="I59" s="10"/>
      <c r="J59" s="12" t="s">
        <v>92</v>
      </c>
    </row>
    <row r="60" spans="1:10" ht="57.6" x14ac:dyDescent="0.3">
      <c r="A60" t="s">
        <v>90</v>
      </c>
      <c r="B60" t="s">
        <v>117</v>
      </c>
      <c r="C60" t="s">
        <v>64</v>
      </c>
      <c r="D60" s="7">
        <v>925000</v>
      </c>
      <c r="E60" s="8">
        <v>46185</v>
      </c>
      <c r="F60" s="9">
        <v>2</v>
      </c>
      <c r="G60" s="9">
        <v>2</v>
      </c>
      <c r="H60" s="9">
        <v>1</v>
      </c>
      <c r="I60" s="10"/>
      <c r="J60" s="12" t="s">
        <v>92</v>
      </c>
    </row>
    <row r="61" spans="1:10" ht="57.6" x14ac:dyDescent="0.3">
      <c r="A61" t="s">
        <v>90</v>
      </c>
      <c r="B61" t="s">
        <v>118</v>
      </c>
      <c r="C61" t="s">
        <v>64</v>
      </c>
      <c r="D61" s="7">
        <v>900000</v>
      </c>
      <c r="E61" s="8">
        <v>46182</v>
      </c>
      <c r="F61" s="9">
        <v>2</v>
      </c>
      <c r="G61" s="9">
        <v>2</v>
      </c>
      <c r="H61" s="9">
        <v>1</v>
      </c>
      <c r="I61" s="10"/>
      <c r="J61" s="12" t="s">
        <v>119</v>
      </c>
    </row>
    <row r="62" spans="1:10" ht="57.6" x14ac:dyDescent="0.3">
      <c r="A62" t="s">
        <v>90</v>
      </c>
      <c r="B62" t="s">
        <v>120</v>
      </c>
      <c r="C62" t="s">
        <v>34</v>
      </c>
      <c r="D62" s="7">
        <v>2642000</v>
      </c>
      <c r="E62" s="8">
        <v>46174</v>
      </c>
      <c r="F62" s="9">
        <v>3</v>
      </c>
      <c r="G62" s="9">
        <v>2</v>
      </c>
      <c r="H62" s="9">
        <v>3</v>
      </c>
      <c r="I62" s="10">
        <v>373.1</v>
      </c>
      <c r="J62" s="12" t="s">
        <v>119</v>
      </c>
    </row>
    <row r="63" spans="1:10" ht="57.6" x14ac:dyDescent="0.3">
      <c r="A63" t="s">
        <v>90</v>
      </c>
      <c r="B63" t="s">
        <v>121</v>
      </c>
      <c r="C63" t="s">
        <v>54</v>
      </c>
      <c r="D63" s="7">
        <v>945000</v>
      </c>
      <c r="E63" s="8">
        <v>46173</v>
      </c>
      <c r="F63" s="9">
        <v>2</v>
      </c>
      <c r="G63" s="9">
        <v>2</v>
      </c>
      <c r="H63" s="9">
        <v>1</v>
      </c>
      <c r="I63" s="10"/>
      <c r="J63" s="12" t="s">
        <v>119</v>
      </c>
    </row>
    <row r="64" spans="1:10" ht="57.6" x14ac:dyDescent="0.3">
      <c r="A64" t="s">
        <v>90</v>
      </c>
      <c r="B64" t="s">
        <v>122</v>
      </c>
      <c r="C64" t="s">
        <v>54</v>
      </c>
      <c r="D64" s="7">
        <v>945000</v>
      </c>
      <c r="E64" s="8">
        <v>46172</v>
      </c>
      <c r="F64" s="9">
        <v>2</v>
      </c>
      <c r="G64" s="9">
        <v>1</v>
      </c>
      <c r="H64" s="9">
        <v>1</v>
      </c>
      <c r="I64" s="10"/>
      <c r="J64" s="12" t="s">
        <v>119</v>
      </c>
    </row>
    <row r="65" spans="1:10" ht="57.6" x14ac:dyDescent="0.3">
      <c r="A65" t="s">
        <v>90</v>
      </c>
      <c r="B65" t="s">
        <v>123</v>
      </c>
      <c r="C65" t="s">
        <v>54</v>
      </c>
      <c r="D65" s="7">
        <v>905000</v>
      </c>
      <c r="E65" s="8">
        <v>46171</v>
      </c>
      <c r="F65" s="9">
        <v>2</v>
      </c>
      <c r="G65" s="9">
        <v>2</v>
      </c>
      <c r="H65" s="9">
        <v>2</v>
      </c>
      <c r="I65" s="10"/>
      <c r="J65" s="12" t="s">
        <v>119</v>
      </c>
    </row>
    <row r="66" spans="1:10" ht="57.6" x14ac:dyDescent="0.3">
      <c r="A66" t="s">
        <v>90</v>
      </c>
      <c r="B66" t="s">
        <v>124</v>
      </c>
      <c r="C66" t="s">
        <v>54</v>
      </c>
      <c r="D66" s="7">
        <v>843000</v>
      </c>
      <c r="E66" s="8">
        <v>46171</v>
      </c>
      <c r="F66" s="9">
        <v>2</v>
      </c>
      <c r="G66" s="9">
        <v>2</v>
      </c>
      <c r="H66" s="9">
        <v>1</v>
      </c>
      <c r="I66" s="10"/>
      <c r="J66" s="12" t="s">
        <v>119</v>
      </c>
    </row>
    <row r="67" spans="1:10" ht="57.6" x14ac:dyDescent="0.3">
      <c r="A67" t="s">
        <v>90</v>
      </c>
      <c r="B67" t="s">
        <v>125</v>
      </c>
      <c r="C67" t="s">
        <v>54</v>
      </c>
      <c r="D67" s="7">
        <v>761000</v>
      </c>
      <c r="E67" s="8">
        <v>46162</v>
      </c>
      <c r="F67" s="9">
        <v>1</v>
      </c>
      <c r="G67" s="9">
        <v>1</v>
      </c>
      <c r="H67" s="9">
        <v>1</v>
      </c>
      <c r="I67" s="10"/>
      <c r="J67" s="12" t="s">
        <v>119</v>
      </c>
    </row>
    <row r="68" spans="1:10" ht="57.6" x14ac:dyDescent="0.3">
      <c r="A68" t="s">
        <v>90</v>
      </c>
      <c r="B68" t="s">
        <v>126</v>
      </c>
      <c r="C68" t="s">
        <v>34</v>
      </c>
      <c r="D68" s="7">
        <v>2765000</v>
      </c>
      <c r="E68" s="8">
        <v>46161</v>
      </c>
      <c r="F68" s="9">
        <v>3</v>
      </c>
      <c r="G68" s="9">
        <v>1</v>
      </c>
      <c r="H68" s="9">
        <v>1</v>
      </c>
      <c r="I68" s="10"/>
      <c r="J68" s="12" t="s">
        <v>119</v>
      </c>
    </row>
    <row r="69" spans="1:10" ht="57.6" x14ac:dyDescent="0.3">
      <c r="A69" t="s">
        <v>127</v>
      </c>
      <c r="B69" t="s">
        <v>128</v>
      </c>
      <c r="C69" t="s">
        <v>54</v>
      </c>
      <c r="D69" s="7">
        <v>626500</v>
      </c>
      <c r="E69" s="8">
        <v>46269</v>
      </c>
      <c r="F69" s="9">
        <v>1</v>
      </c>
      <c r="G69" s="9">
        <v>1</v>
      </c>
      <c r="H69" s="9"/>
      <c r="I69" s="10"/>
      <c r="J69" s="12" t="s">
        <v>129</v>
      </c>
    </row>
    <row r="70" spans="1:10" ht="57.6" x14ac:dyDescent="0.3">
      <c r="A70" t="s">
        <v>127</v>
      </c>
      <c r="B70" t="s">
        <v>130</v>
      </c>
      <c r="C70" t="s">
        <v>54</v>
      </c>
      <c r="D70" s="7">
        <v>618000</v>
      </c>
      <c r="E70" s="8">
        <v>46268</v>
      </c>
      <c r="F70" s="9">
        <v>1</v>
      </c>
      <c r="G70" s="9">
        <v>1</v>
      </c>
      <c r="H70" s="9"/>
      <c r="I70" s="10"/>
      <c r="J70" s="12" t="s">
        <v>129</v>
      </c>
    </row>
    <row r="71" spans="1:10" ht="57.6" x14ac:dyDescent="0.3">
      <c r="A71" t="s">
        <v>127</v>
      </c>
      <c r="B71" t="s">
        <v>131</v>
      </c>
      <c r="C71" t="s">
        <v>54</v>
      </c>
      <c r="D71" s="7">
        <v>1200000</v>
      </c>
      <c r="E71" s="8">
        <v>46262</v>
      </c>
      <c r="F71" s="9">
        <v>3</v>
      </c>
      <c r="G71" s="9">
        <v>2</v>
      </c>
      <c r="H71" s="9">
        <v>1</v>
      </c>
      <c r="I71" s="10"/>
      <c r="J71" s="12" t="s">
        <v>129</v>
      </c>
    </row>
    <row r="72" spans="1:10" ht="57.6" x14ac:dyDescent="0.3">
      <c r="A72" t="s">
        <v>127</v>
      </c>
      <c r="B72" t="s">
        <v>132</v>
      </c>
      <c r="C72" t="s">
        <v>54</v>
      </c>
      <c r="D72" s="7">
        <v>1062000</v>
      </c>
      <c r="E72" s="8">
        <v>46262</v>
      </c>
      <c r="F72" s="9">
        <v>2</v>
      </c>
      <c r="G72" s="9">
        <v>1</v>
      </c>
      <c r="H72" s="9">
        <v>1</v>
      </c>
      <c r="I72" s="10"/>
      <c r="J72" s="12" t="s">
        <v>129</v>
      </c>
    </row>
    <row r="73" spans="1:10" ht="57.6" x14ac:dyDescent="0.3">
      <c r="A73" t="s">
        <v>127</v>
      </c>
      <c r="B73" t="s">
        <v>133</v>
      </c>
      <c r="C73" t="s">
        <v>54</v>
      </c>
      <c r="D73" s="7">
        <v>850000</v>
      </c>
      <c r="E73" s="8">
        <v>46261</v>
      </c>
      <c r="F73" s="9">
        <v>2</v>
      </c>
      <c r="G73" s="9">
        <v>2</v>
      </c>
      <c r="H73" s="9">
        <v>1</v>
      </c>
      <c r="I73" s="10"/>
      <c r="J73" s="12" t="s">
        <v>129</v>
      </c>
    </row>
    <row r="74" spans="1:10" ht="57.6" x14ac:dyDescent="0.3">
      <c r="A74" t="s">
        <v>127</v>
      </c>
      <c r="B74" t="s">
        <v>134</v>
      </c>
      <c r="C74" t="s">
        <v>54</v>
      </c>
      <c r="D74" s="7">
        <v>1400000</v>
      </c>
      <c r="E74" s="8">
        <v>46259</v>
      </c>
      <c r="F74" s="9">
        <v>3</v>
      </c>
      <c r="G74" s="9">
        <v>2</v>
      </c>
      <c r="H74" s="9">
        <v>2</v>
      </c>
      <c r="I74" s="10"/>
      <c r="J74" s="12" t="s">
        <v>129</v>
      </c>
    </row>
    <row r="75" spans="1:10" ht="57.6" x14ac:dyDescent="0.3">
      <c r="A75" t="s">
        <v>127</v>
      </c>
      <c r="B75" t="s">
        <v>135</v>
      </c>
      <c r="C75" t="s">
        <v>54</v>
      </c>
      <c r="D75" s="7">
        <v>1100000</v>
      </c>
      <c r="E75" s="8">
        <v>46259</v>
      </c>
      <c r="F75" s="9">
        <v>2</v>
      </c>
      <c r="G75" s="9">
        <v>2</v>
      </c>
      <c r="H75" s="9">
        <v>1</v>
      </c>
      <c r="I75" s="10"/>
      <c r="J75" s="12" t="s">
        <v>129</v>
      </c>
    </row>
    <row r="76" spans="1:10" ht="57.6" x14ac:dyDescent="0.3">
      <c r="A76" t="s">
        <v>127</v>
      </c>
      <c r="B76" t="s">
        <v>136</v>
      </c>
      <c r="C76" t="s">
        <v>54</v>
      </c>
      <c r="D76" s="7">
        <v>750000</v>
      </c>
      <c r="E76" s="8">
        <v>46257</v>
      </c>
      <c r="F76" s="9">
        <v>1</v>
      </c>
      <c r="G76" s="9">
        <v>1</v>
      </c>
      <c r="H76" s="9">
        <v>1</v>
      </c>
      <c r="I76" s="10"/>
      <c r="J76" s="12" t="s">
        <v>129</v>
      </c>
    </row>
    <row r="77" spans="1:10" ht="57.6" x14ac:dyDescent="0.3">
      <c r="A77" t="s">
        <v>127</v>
      </c>
      <c r="B77" t="s">
        <v>137</v>
      </c>
      <c r="C77" t="s">
        <v>54</v>
      </c>
      <c r="D77" s="7">
        <v>672500</v>
      </c>
      <c r="E77" s="8">
        <v>46254</v>
      </c>
      <c r="F77" s="9">
        <v>1</v>
      </c>
      <c r="G77" s="9">
        <v>1</v>
      </c>
      <c r="H77" s="9"/>
      <c r="I77" s="10"/>
      <c r="J77" s="12" t="s">
        <v>129</v>
      </c>
    </row>
    <row r="78" spans="1:10" ht="57.6" x14ac:dyDescent="0.3">
      <c r="A78" t="s">
        <v>127</v>
      </c>
      <c r="B78" t="s">
        <v>138</v>
      </c>
      <c r="C78" t="s">
        <v>54</v>
      </c>
      <c r="D78" s="7">
        <v>1203000</v>
      </c>
      <c r="E78" s="8">
        <v>46253</v>
      </c>
      <c r="F78" s="9">
        <v>2</v>
      </c>
      <c r="G78" s="9">
        <v>2</v>
      </c>
      <c r="H78" s="9">
        <v>1</v>
      </c>
      <c r="I78" s="10"/>
      <c r="J78" s="12" t="s">
        <v>129</v>
      </c>
    </row>
    <row r="79" spans="1:10" ht="57.6" x14ac:dyDescent="0.3">
      <c r="A79" t="s">
        <v>127</v>
      </c>
      <c r="B79" t="s">
        <v>139</v>
      </c>
      <c r="C79" t="s">
        <v>54</v>
      </c>
      <c r="D79" s="7">
        <v>760000</v>
      </c>
      <c r="E79" s="8">
        <v>46252</v>
      </c>
      <c r="F79" s="9">
        <v>1</v>
      </c>
      <c r="G79" s="9">
        <v>1</v>
      </c>
      <c r="H79" s="9"/>
      <c r="I79" s="10"/>
      <c r="J79" s="12" t="s">
        <v>129</v>
      </c>
    </row>
    <row r="80" spans="1:10" ht="57.6" x14ac:dyDescent="0.3">
      <c r="A80" t="s">
        <v>127</v>
      </c>
      <c r="B80" t="s">
        <v>140</v>
      </c>
      <c r="C80" t="s">
        <v>54</v>
      </c>
      <c r="D80" s="7">
        <v>870000</v>
      </c>
      <c r="E80" s="8">
        <v>46251</v>
      </c>
      <c r="F80" s="9">
        <v>2</v>
      </c>
      <c r="G80" s="9">
        <v>1</v>
      </c>
      <c r="H80" s="9">
        <v>1</v>
      </c>
      <c r="I80" s="10"/>
      <c r="J80" s="12" t="s">
        <v>129</v>
      </c>
    </row>
    <row r="81" spans="1:10" ht="57.6" x14ac:dyDescent="0.3">
      <c r="A81" t="s">
        <v>127</v>
      </c>
      <c r="B81" t="s">
        <v>141</v>
      </c>
      <c r="C81" t="s">
        <v>54</v>
      </c>
      <c r="D81" s="7">
        <v>996000</v>
      </c>
      <c r="E81" s="8">
        <v>46247</v>
      </c>
      <c r="F81" s="9">
        <v>2</v>
      </c>
      <c r="G81" s="9">
        <v>2</v>
      </c>
      <c r="H81" s="9">
        <v>1</v>
      </c>
      <c r="I81" s="10"/>
      <c r="J81" s="12" t="s">
        <v>129</v>
      </c>
    </row>
    <row r="82" spans="1:10" ht="57.6" x14ac:dyDescent="0.3">
      <c r="A82" t="s">
        <v>127</v>
      </c>
      <c r="B82" t="s">
        <v>142</v>
      </c>
      <c r="C82" t="s">
        <v>64</v>
      </c>
      <c r="D82" s="7">
        <v>680000</v>
      </c>
      <c r="E82" s="8">
        <v>46245</v>
      </c>
      <c r="F82" s="9">
        <v>1</v>
      </c>
      <c r="G82" s="9">
        <v>1</v>
      </c>
      <c r="H82" s="9"/>
      <c r="I82" s="10"/>
      <c r="J82" s="12" t="s">
        <v>129</v>
      </c>
    </row>
    <row r="83" spans="1:10" ht="57.6" x14ac:dyDescent="0.3">
      <c r="A83" t="s">
        <v>127</v>
      </c>
      <c r="B83" t="s">
        <v>143</v>
      </c>
      <c r="C83" t="s">
        <v>54</v>
      </c>
      <c r="D83" s="7">
        <v>612500</v>
      </c>
      <c r="E83" s="8">
        <v>46244</v>
      </c>
      <c r="F83" s="9">
        <v>1</v>
      </c>
      <c r="G83" s="9">
        <v>1</v>
      </c>
      <c r="H83" s="9">
        <v>1</v>
      </c>
      <c r="I83" s="10"/>
      <c r="J83" s="12" t="s">
        <v>129</v>
      </c>
    </row>
    <row r="84" spans="1:10" ht="57.6" x14ac:dyDescent="0.3">
      <c r="A84" t="s">
        <v>127</v>
      </c>
      <c r="B84" t="s">
        <v>144</v>
      </c>
      <c r="C84" t="s">
        <v>54</v>
      </c>
      <c r="D84" s="7">
        <v>675000</v>
      </c>
      <c r="E84" s="8">
        <v>46240</v>
      </c>
      <c r="F84" s="9">
        <v>1</v>
      </c>
      <c r="G84" s="9">
        <v>1</v>
      </c>
      <c r="H84" s="9"/>
      <c r="I84" s="10"/>
      <c r="J84" s="12" t="s">
        <v>129</v>
      </c>
    </row>
    <row r="85" spans="1:10" ht="57.6" x14ac:dyDescent="0.3">
      <c r="A85" t="s">
        <v>127</v>
      </c>
      <c r="B85" t="s">
        <v>145</v>
      </c>
      <c r="C85" t="s">
        <v>34</v>
      </c>
      <c r="D85" s="7">
        <v>1575000</v>
      </c>
      <c r="E85" s="8">
        <v>46239</v>
      </c>
      <c r="F85" s="9">
        <v>3</v>
      </c>
      <c r="G85" s="9">
        <v>1</v>
      </c>
      <c r="H85" s="9"/>
      <c r="I85" s="10"/>
      <c r="J85" s="12" t="s">
        <v>129</v>
      </c>
    </row>
    <row r="86" spans="1:10" ht="57.6" x14ac:dyDescent="0.3">
      <c r="A86" t="s">
        <v>127</v>
      </c>
      <c r="B86" t="s">
        <v>146</v>
      </c>
      <c r="C86" t="s">
        <v>54</v>
      </c>
      <c r="D86" s="7">
        <v>650000</v>
      </c>
      <c r="E86" s="8">
        <v>46237</v>
      </c>
      <c r="F86" s="9">
        <v>1</v>
      </c>
      <c r="G86" s="9">
        <v>1</v>
      </c>
      <c r="H86" s="9"/>
      <c r="I86" s="10"/>
      <c r="J86" s="12" t="s">
        <v>129</v>
      </c>
    </row>
    <row r="87" spans="1:10" ht="57.6" x14ac:dyDescent="0.3">
      <c r="A87" t="s">
        <v>127</v>
      </c>
      <c r="B87" t="s">
        <v>147</v>
      </c>
      <c r="C87" t="s">
        <v>54</v>
      </c>
      <c r="D87" s="7">
        <v>1190000</v>
      </c>
      <c r="E87" s="8">
        <v>46233</v>
      </c>
      <c r="F87" s="9">
        <v>2</v>
      </c>
      <c r="G87" s="9">
        <v>2</v>
      </c>
      <c r="H87" s="9">
        <v>1</v>
      </c>
      <c r="I87" s="10"/>
      <c r="J87" s="12" t="s">
        <v>129</v>
      </c>
    </row>
    <row r="88" spans="1:10" ht="57.6" x14ac:dyDescent="0.3">
      <c r="A88" t="s">
        <v>127</v>
      </c>
      <c r="B88" t="s">
        <v>148</v>
      </c>
      <c r="C88" t="s">
        <v>54</v>
      </c>
      <c r="D88" s="7">
        <v>675000</v>
      </c>
      <c r="E88" s="8">
        <v>46233</v>
      </c>
      <c r="F88" s="9">
        <v>1</v>
      </c>
      <c r="G88" s="9">
        <v>1</v>
      </c>
      <c r="H88" s="9">
        <v>1</v>
      </c>
      <c r="I88" s="10"/>
      <c r="J88" s="12" t="s">
        <v>129</v>
      </c>
    </row>
    <row r="89" spans="1:10" ht="57.6" x14ac:dyDescent="0.3">
      <c r="A89" t="s">
        <v>127</v>
      </c>
      <c r="B89" t="s">
        <v>149</v>
      </c>
      <c r="C89" t="s">
        <v>54</v>
      </c>
      <c r="D89" s="7">
        <v>645000</v>
      </c>
      <c r="E89" s="8">
        <v>46233</v>
      </c>
      <c r="F89" s="9">
        <v>1</v>
      </c>
      <c r="G89" s="9">
        <v>1</v>
      </c>
      <c r="H89" s="9"/>
      <c r="I89" s="10"/>
      <c r="J89" s="12" t="s">
        <v>129</v>
      </c>
    </row>
    <row r="90" spans="1:10" ht="57.6" x14ac:dyDescent="0.3">
      <c r="A90" t="s">
        <v>127</v>
      </c>
      <c r="B90" t="s">
        <v>150</v>
      </c>
      <c r="C90" t="s">
        <v>54</v>
      </c>
      <c r="D90" s="7">
        <v>1150000</v>
      </c>
      <c r="E90" s="8">
        <v>46227</v>
      </c>
      <c r="F90" s="9">
        <v>2</v>
      </c>
      <c r="G90" s="9">
        <v>2</v>
      </c>
      <c r="H90" s="9">
        <v>1</v>
      </c>
      <c r="I90" s="10"/>
      <c r="J90" s="12" t="s">
        <v>129</v>
      </c>
    </row>
    <row r="91" spans="1:10" ht="57.6" x14ac:dyDescent="0.3">
      <c r="A91" t="s">
        <v>127</v>
      </c>
      <c r="B91" t="s">
        <v>151</v>
      </c>
      <c r="C91" t="s">
        <v>54</v>
      </c>
      <c r="D91" s="7">
        <v>835000</v>
      </c>
      <c r="E91" s="8">
        <v>46227</v>
      </c>
      <c r="F91" s="9">
        <v>2</v>
      </c>
      <c r="G91" s="9">
        <v>2</v>
      </c>
      <c r="H91" s="9"/>
      <c r="I91" s="10"/>
      <c r="J91" s="12" t="s">
        <v>129</v>
      </c>
    </row>
    <row r="92" spans="1:10" ht="57.6" x14ac:dyDescent="0.3">
      <c r="A92" t="s">
        <v>127</v>
      </c>
      <c r="B92" t="s">
        <v>152</v>
      </c>
      <c r="C92" t="s">
        <v>54</v>
      </c>
      <c r="D92" s="7">
        <v>740000</v>
      </c>
      <c r="E92" s="8">
        <v>46227</v>
      </c>
      <c r="F92" s="9">
        <v>2</v>
      </c>
      <c r="G92" s="9">
        <v>1</v>
      </c>
      <c r="H92" s="9"/>
      <c r="I92" s="10"/>
      <c r="J92" s="12" t="s">
        <v>129</v>
      </c>
    </row>
    <row r="93" spans="1:10" ht="57.6" x14ac:dyDescent="0.3">
      <c r="A93" t="s">
        <v>127</v>
      </c>
      <c r="B93" t="s">
        <v>153</v>
      </c>
      <c r="C93" t="s">
        <v>54</v>
      </c>
      <c r="D93" s="7">
        <v>1100000</v>
      </c>
      <c r="E93" s="8">
        <v>46226</v>
      </c>
      <c r="F93" s="9">
        <v>2</v>
      </c>
      <c r="G93" s="9">
        <v>2</v>
      </c>
      <c r="H93" s="9">
        <v>1</v>
      </c>
      <c r="I93" s="10"/>
      <c r="J93" s="12" t="s">
        <v>129</v>
      </c>
    </row>
    <row r="94" spans="1:10" ht="72" x14ac:dyDescent="0.3">
      <c r="A94" t="s">
        <v>127</v>
      </c>
      <c r="B94" t="s">
        <v>154</v>
      </c>
      <c r="C94" t="s">
        <v>54</v>
      </c>
      <c r="D94" s="7">
        <v>738000</v>
      </c>
      <c r="E94" s="8">
        <v>46220</v>
      </c>
      <c r="F94" s="9">
        <v>1</v>
      </c>
      <c r="G94" s="9">
        <v>1</v>
      </c>
      <c r="H94" s="9"/>
      <c r="I94" s="10"/>
      <c r="J94" s="12" t="s">
        <v>155</v>
      </c>
    </row>
    <row r="95" spans="1:10" ht="72" x14ac:dyDescent="0.3">
      <c r="A95" t="s">
        <v>127</v>
      </c>
      <c r="B95" t="s">
        <v>156</v>
      </c>
      <c r="C95" t="s">
        <v>54</v>
      </c>
      <c r="D95" s="7">
        <v>720000</v>
      </c>
      <c r="E95" s="8">
        <v>46213</v>
      </c>
      <c r="F95" s="9">
        <v>1</v>
      </c>
      <c r="G95" s="9">
        <v>1</v>
      </c>
      <c r="H95" s="9"/>
      <c r="I95" s="10"/>
      <c r="J95" s="12" t="s">
        <v>155</v>
      </c>
    </row>
    <row r="96" spans="1:10" ht="72" x14ac:dyDescent="0.3">
      <c r="A96" t="s">
        <v>127</v>
      </c>
      <c r="B96" t="s">
        <v>157</v>
      </c>
      <c r="C96" t="s">
        <v>54</v>
      </c>
      <c r="D96" s="7">
        <v>725000</v>
      </c>
      <c r="E96" s="8">
        <v>46212</v>
      </c>
      <c r="F96" s="9">
        <v>1</v>
      </c>
      <c r="G96" s="9">
        <v>1</v>
      </c>
      <c r="H96" s="9">
        <v>1</v>
      </c>
      <c r="I96" s="10"/>
      <c r="J96" s="12" t="s">
        <v>155</v>
      </c>
    </row>
    <row r="97" spans="1:10" ht="72" x14ac:dyDescent="0.3">
      <c r="A97" t="s">
        <v>127</v>
      </c>
      <c r="B97" t="s">
        <v>158</v>
      </c>
      <c r="C97" t="s">
        <v>54</v>
      </c>
      <c r="D97" s="7">
        <v>775000</v>
      </c>
      <c r="E97" s="8">
        <v>46210</v>
      </c>
      <c r="F97" s="9">
        <v>1</v>
      </c>
      <c r="G97" s="9">
        <v>1</v>
      </c>
      <c r="H97" s="9">
        <v>1</v>
      </c>
      <c r="I97" s="10"/>
      <c r="J97" s="12" t="s">
        <v>155</v>
      </c>
    </row>
    <row r="98" spans="1:10" ht="72" x14ac:dyDescent="0.3">
      <c r="A98" t="s">
        <v>127</v>
      </c>
      <c r="B98" t="s">
        <v>159</v>
      </c>
      <c r="C98" t="s">
        <v>54</v>
      </c>
      <c r="D98" s="7">
        <v>710000</v>
      </c>
      <c r="E98" s="8">
        <v>46206</v>
      </c>
      <c r="F98" s="9">
        <v>1</v>
      </c>
      <c r="G98" s="9">
        <v>1</v>
      </c>
      <c r="H98" s="9"/>
      <c r="I98" s="10"/>
      <c r="J98" s="12" t="s">
        <v>155</v>
      </c>
    </row>
    <row r="99" spans="1:10" ht="72" x14ac:dyDescent="0.3">
      <c r="A99" t="s">
        <v>127</v>
      </c>
      <c r="B99" t="s">
        <v>160</v>
      </c>
      <c r="C99" t="s">
        <v>54</v>
      </c>
      <c r="D99" s="7">
        <v>697000</v>
      </c>
      <c r="E99" s="8">
        <v>46204</v>
      </c>
      <c r="F99" s="9">
        <v>1</v>
      </c>
      <c r="G99" s="9">
        <v>1</v>
      </c>
      <c r="H99" s="9">
        <v>1</v>
      </c>
      <c r="I99" s="10"/>
      <c r="J99" s="12" t="s">
        <v>155</v>
      </c>
    </row>
    <row r="100" spans="1:10" ht="72" x14ac:dyDescent="0.3">
      <c r="A100" t="s">
        <v>127</v>
      </c>
      <c r="B100" t="s">
        <v>161</v>
      </c>
      <c r="C100" t="s">
        <v>54</v>
      </c>
      <c r="D100" s="7">
        <v>680000</v>
      </c>
      <c r="E100" s="8">
        <v>46204</v>
      </c>
      <c r="F100" s="9">
        <v>1</v>
      </c>
      <c r="G100" s="9">
        <v>1</v>
      </c>
      <c r="H100" s="9"/>
      <c r="I100" s="10"/>
      <c r="J100" s="12" t="s">
        <v>155</v>
      </c>
    </row>
    <row r="101" spans="1:10" ht="72" x14ac:dyDescent="0.3">
      <c r="A101" t="s">
        <v>127</v>
      </c>
      <c r="B101" t="s">
        <v>162</v>
      </c>
      <c r="C101" t="s">
        <v>54</v>
      </c>
      <c r="D101" s="7">
        <v>735000</v>
      </c>
      <c r="E101" s="8">
        <v>46199</v>
      </c>
      <c r="F101" s="9">
        <v>1</v>
      </c>
      <c r="G101" s="9">
        <v>1</v>
      </c>
      <c r="H101" s="9"/>
      <c r="I101" s="10"/>
      <c r="J101" s="12" t="s">
        <v>155</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8"/>
  <sheetViews>
    <sheetView workbookViewId="0"/>
  </sheetViews>
  <sheetFormatPr defaultRowHeight="14.4" x14ac:dyDescent="0.3"/>
  <cols>
    <col min="1" max="1" width="38.21875" customWidth="1"/>
    <col min="2" max="4" width="36.33203125" customWidth="1"/>
  </cols>
  <sheetData>
    <row r="1" spans="1:4" x14ac:dyDescent="0.3">
      <c r="A1" s="14" t="s">
        <v>35</v>
      </c>
      <c r="B1" s="14" t="s">
        <v>36</v>
      </c>
      <c r="C1" s="14" t="s">
        <v>37</v>
      </c>
      <c r="D1" s="14" t="s">
        <v>38</v>
      </c>
    </row>
    <row r="2" spans="1:4" x14ac:dyDescent="0.3">
      <c r="A2" s="5" t="s">
        <v>39</v>
      </c>
      <c r="B2" s="6" t="s">
        <v>33</v>
      </c>
      <c r="C2" s="6" t="s">
        <v>90</v>
      </c>
      <c r="D2" s="6" t="s">
        <v>127</v>
      </c>
    </row>
    <row r="3" spans="1:4" ht="28.8" x14ac:dyDescent="0.3">
      <c r="A3" s="5" t="s">
        <v>40</v>
      </c>
      <c r="B3" s="6" t="s">
        <v>163</v>
      </c>
      <c r="C3" s="6" t="s">
        <v>164</v>
      </c>
      <c r="D3" s="6" t="s">
        <v>165</v>
      </c>
    </row>
    <row r="4" spans="1:4" x14ac:dyDescent="0.3">
      <c r="A4" s="5" t="s">
        <v>41</v>
      </c>
      <c r="B4" s="13" cm="1">
        <f t="array" ref="B4">MEDIAN(_xlfn._xlws.FILTER('Data Entry'!$D$2:$D$101,'Data Entry'!$A$2:$A$101=B$2))</f>
        <v>1565000</v>
      </c>
      <c r="C4" s="13" cm="1">
        <f t="array" ref="C4">MEDIAN(_xlfn._xlws.FILTER('Data Entry'!$D$2:$D$101,'Data Entry'!$A$2:$A$101=C$2))</f>
        <v>905000</v>
      </c>
      <c r="D4" s="13" cm="1">
        <f t="array" ref="D4">MEDIAN(_xlfn._xlws.FILTER('Data Entry'!$D$2:$D$101,'Data Entry'!$A$2:$A$101=D$2))</f>
        <v>740000</v>
      </c>
    </row>
    <row r="5" spans="1:4" x14ac:dyDescent="0.3">
      <c r="A5" s="5" t="s">
        <v>42</v>
      </c>
      <c r="B5" s="6"/>
      <c r="C5" s="6"/>
      <c r="D5" s="6"/>
    </row>
    <row r="6" spans="1:4" ht="28.8" x14ac:dyDescent="0.3">
      <c r="A6" s="5" t="s">
        <v>43</v>
      </c>
      <c r="B6" s="6" t="s">
        <v>166</v>
      </c>
      <c r="C6" s="6" t="s">
        <v>167</v>
      </c>
      <c r="D6" s="6" t="s">
        <v>168</v>
      </c>
    </row>
    <row r="7" spans="1:4" x14ac:dyDescent="0.3">
      <c r="A7" s="5" t="s">
        <v>44</v>
      </c>
      <c r="B7" s="6">
        <v>34</v>
      </c>
      <c r="C7" s="6">
        <v>33</v>
      </c>
      <c r="D7" s="6">
        <v>33</v>
      </c>
    </row>
    <row r="8" spans="1:4" x14ac:dyDescent="0.3">
      <c r="A8" s="5" t="s">
        <v>45</v>
      </c>
      <c r="B8" s="6">
        <f>COUNTIF('Data Entry'!$A$2:$A$101,B$2)</f>
        <v>34</v>
      </c>
      <c r="C8" s="6">
        <f>COUNTIF('Data Entry'!$A$2:$A$101,C$2)</f>
        <v>33</v>
      </c>
      <c r="D8" s="6">
        <f>COUNTIF('Data Entry'!$A$2:$A$101,D$2)</f>
        <v>33</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5"/>
  <sheetViews>
    <sheetView workbookViewId="0"/>
  </sheetViews>
  <sheetFormatPr defaultRowHeight="14.4" x14ac:dyDescent="0.3"/>
  <cols>
    <col min="1" max="1" width="16.33203125" customWidth="1"/>
    <col min="2" max="2" width="36.33203125" customWidth="1"/>
  </cols>
  <sheetData>
    <row r="1" spans="1:2" x14ac:dyDescent="0.3">
      <c r="A1" s="14" t="s">
        <v>46</v>
      </c>
      <c r="B1" s="14" t="s">
        <v>47</v>
      </c>
    </row>
    <row r="2" spans="1:2" ht="57.6" x14ac:dyDescent="0.3">
      <c r="A2" s="8">
        <v>46272</v>
      </c>
      <c r="B2" s="12" t="s">
        <v>169</v>
      </c>
    </row>
    <row r="3" spans="1:2" ht="72" x14ac:dyDescent="0.3">
      <c r="A3" s="8">
        <v>46272</v>
      </c>
      <c r="B3" s="12" t="s">
        <v>170</v>
      </c>
    </row>
    <row r="4" spans="1:2" ht="57.6" x14ac:dyDescent="0.3">
      <c r="A4" s="8">
        <v>46272</v>
      </c>
      <c r="B4" s="12" t="s">
        <v>171</v>
      </c>
    </row>
    <row r="5" spans="1:2" ht="57.6" x14ac:dyDescent="0.3">
      <c r="A5" s="8">
        <v>46272</v>
      </c>
      <c r="B5" s="12" t="s">
        <v>172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Data Entry</vt:lpstr>
      <vt:lpstr>Suburb Planning</vt:lpstr>
      <vt:lpstr>Collection 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Chí Vĩ Hàn</cp:lastModifiedBy>
  <dcterms:created xsi:type="dcterms:W3CDTF">2026-09-03T05:20:35Z</dcterms:created>
  <dcterms:modified xsi:type="dcterms:W3CDTF">2026-09-10T08:59:42Z</dcterms:modified>
</cp:coreProperties>
</file>